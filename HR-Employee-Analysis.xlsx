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slicers/slicer4.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OneDrive\Desktop\Sanket Tippe\Excel\data-analysis-excel-main\2. HR Analytics Dashboard\"/>
    </mc:Choice>
  </mc:AlternateContent>
  <xr:revisionPtr revIDLastSave="0" documentId="13_ncr:1_{025E50E3-2883-47CB-94F6-150B0C418906}" xr6:coauthVersionLast="47" xr6:coauthVersionMax="47" xr10:uidLastSave="{00000000-0000-0000-0000-000000000000}"/>
  <bookViews>
    <workbookView xWindow="-110" yWindow="-110" windowWidth="19420" windowHeight="11020" firstSheet="4" activeTab="7" xr2:uid="{5AF5D4AF-D10E-435D-ABA8-B0D0494ED23E}"/>
  </bookViews>
  <sheets>
    <sheet name="Data" sheetId="1" r:id="rId1"/>
    <sheet name="KPI" sheetId="7" r:id="rId2"/>
    <sheet name="Rating" sheetId="9" r:id="rId3"/>
    <sheet name="Employee by Gender" sheetId="10" r:id="rId4"/>
    <sheet name="Attrition By Job Role" sheetId="13" r:id="rId5"/>
    <sheet name="Department-wise Attrition" sheetId="14" r:id="rId6"/>
    <sheet name="Attrition By Marriage Status" sheetId="16" r:id="rId7"/>
    <sheet name="Dashboard" sheetId="8" r:id="rId8"/>
  </sheets>
  <definedNames>
    <definedName name="_xlchart.v1.0" hidden="1">'Attrition By Job Role'!$E$4:$E$12</definedName>
    <definedName name="_xlchart.v1.1" hidden="1">'Attrition By Job Role'!$F$3</definedName>
    <definedName name="_xlchart.v1.2" hidden="1">'Attrition By Job Role'!$F$4:$F$12</definedName>
    <definedName name="_xlchart.v1.5" hidden="1">'Attrition By Job Role'!$E$4:$E$12</definedName>
    <definedName name="_xlchart.v1.6" hidden="1">'Attrition By Job Role'!$F$3</definedName>
    <definedName name="_xlchart.v1.7" hidden="1">'Attrition By Job Role'!$F$4:$F$12</definedName>
    <definedName name="_xlchart.v2.3" hidden="1">'Attrition By Marriage Status'!$D$4:$D$6</definedName>
    <definedName name="_xlchart.v2.4"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Education_Field2">#N/A</definedName>
    <definedName name="Slicer_Education1">#N/A</definedName>
    <definedName name="Slicer_Gender2">#N/A</definedName>
    <definedName name="Slicer_Marital_Status">#N/A</definedName>
  </definedNames>
  <calcPr calcId="191029"/>
  <pivotCaches>
    <pivotCache cacheId="5"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E6" i="16"/>
  <c r="F9" i="13"/>
  <c r="B6" i="9"/>
  <c r="F8" i="13"/>
  <c r="D7" i="7"/>
  <c r="E4" i="16"/>
  <c r="E7" i="7"/>
  <c r="E5" i="14"/>
  <c r="F7" i="13"/>
  <c r="E6" i="14"/>
  <c r="F6" i="13"/>
  <c r="C7" i="7"/>
  <c r="F5" i="13"/>
  <c r="B11" i="10"/>
  <c r="E4" i="14"/>
  <c r="B7" i="7"/>
  <c r="F12" i="13"/>
  <c r="F4" i="13"/>
  <c r="A7" i="7"/>
  <c r="E5" i="16"/>
  <c r="F11" i="13"/>
  <c r="B12" i="10"/>
  <c r="F10" i="13"/>
  <c r="C11" i="10" l="1"/>
  <c r="C12" i="10"/>
  <c r="C6" i="9"/>
  <c r="B7" i="9"/>
  <c r="C7" i="9" s="1"/>
  <c r="F4" i="14"/>
  <c r="F5" i="14"/>
  <c r="F6" i="14"/>
</calcChain>
</file>

<file path=xl/sharedStrings.xml><?xml version="1.0" encoding="utf-8"?>
<sst xmlns="http://schemas.openxmlformats.org/spreadsheetml/2006/main" count="19235" uniqueCount="1569">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</sst>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3">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BFDB-4E22-A00E-371ED7F95772}"/>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A2841B7C-A776-4DFC-9335-B6F93B67A85D}" type="CELLRANGE">
                      <a:rPr lang="en-US"/>
                      <a:pPr/>
                      <a:t>[CELLRANGE]</a:t>
                    </a:fld>
                    <a:r>
                      <a:rPr lang="en-US" baseline="0"/>
                      <a:t>, </a:t>
                    </a:r>
                    <a:fld id="{5996D4F7-119A-4567-A1AF-DEEA0DA6B88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5F2E9A33-B70D-431A-8C38-D95FCF46617C}" type="CELLRANGE">
                      <a:rPr lang="en-US"/>
                      <a:pPr/>
                      <a:t>[CELLRANGE]</a:t>
                    </a:fld>
                    <a:r>
                      <a:rPr lang="en-US" baseline="0"/>
                      <a:t>, </a:t>
                    </a:r>
                    <a:fld id="{8D931596-0D8F-4E83-92BB-B41B5CE1D28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2E79F547-3788-4B07-9E03-E0EF092961D6}" type="CELLRANGE">
                      <a:rPr lang="en-US"/>
                      <a:pPr/>
                      <a:t>[CELLRANGE]</a:t>
                    </a:fld>
                    <a:r>
                      <a:rPr lang="en-US" baseline="0"/>
                      <a:t>, </a:t>
                    </a:r>
                    <a:fld id="{EE5D889E-8A48-4859-B5AC-FD587AD69B2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720895269952831E-3"/>
          <c:w val="0.93785310734463279"/>
          <c:h val="0.64793640651720441"/>
        </c:manualLayout>
      </c:layout>
      <c:barChart>
        <c:barDir val="col"/>
        <c:grouping val="clustered"/>
        <c:varyColors val="0"/>
        <c:ser>
          <c:idx val="0"/>
          <c:order val="0"/>
          <c:tx>
            <c:v>Total</c:v>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25 - 34</c:v>
              </c:pt>
              <c:pt idx="1">
                <c:v>35 - 44</c:v>
              </c:pt>
              <c:pt idx="2">
                <c:v>45 - 54</c:v>
              </c:pt>
              <c:pt idx="3">
                <c:v>Under 25</c:v>
              </c:pt>
              <c:pt idx="4">
                <c:v>Over 55</c:v>
              </c:pt>
            </c:strLit>
          </c:cat>
          <c:val>
            <c:numLit>
              <c:formatCode>General</c:formatCode>
              <c:ptCount val="5"/>
              <c:pt idx="0">
                <c:v>554</c:v>
              </c:pt>
              <c:pt idx="1">
                <c:v>505</c:v>
              </c:pt>
              <c:pt idx="2">
                <c:v>245</c:v>
              </c:pt>
              <c:pt idx="3">
                <c:v>97</c:v>
              </c:pt>
              <c:pt idx="4">
                <c:v>69</c:v>
              </c:pt>
            </c:numLit>
          </c:val>
          <c:extLst>
            <c:ext xmlns:c16="http://schemas.microsoft.com/office/drawing/2014/chart" uri="{C3380CC4-5D6E-409C-BE32-E72D297353CC}">
              <c16:uniqueId val="{00000000-177B-4965-9F11-87290D97D29B}"/>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54BACC9D-408C-4977-BC9C-08B80955F9F9}" type="CELLRANGE">
                      <a:rPr lang="en-US"/>
                      <a:pPr/>
                      <a:t>[CELLRANGE]</a:t>
                    </a:fld>
                    <a:r>
                      <a:rPr lang="en-US" baseline="0"/>
                      <a:t>, </a:t>
                    </a:r>
                    <a:fld id="{88715A4D-7E9F-4590-AA19-3EBC9E66A5BE}"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0740DDA5-9E6B-4259-B3B9-4FD9D9B25A37}" type="CELLRANGE">
                      <a:rPr lang="en-US"/>
                      <a:pPr/>
                      <a:t>[CELLRANGE]</a:t>
                    </a:fld>
                    <a:r>
                      <a:rPr lang="en-US" baseline="0"/>
                      <a:t>, </a:t>
                    </a:r>
                    <a:fld id="{E7119760-6D6E-46AF-9B06-602ECA9EBCC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819F3A40-DC5D-44EA-881B-8BAD62BCEAE4}" type="CELLRANGE">
                      <a:rPr lang="en-US"/>
                      <a:pPr/>
                      <a:t>[CELLRANGE]</a:t>
                    </a:fld>
                    <a:r>
                      <a:rPr lang="en-US" baseline="0"/>
                      <a:t>, </a:t>
                    </a:r>
                    <a:fld id="{CE0DD701-2C95-4DC4-A842-2752440F244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25 - 34</c:v>
              </c:pt>
              <c:pt idx="1">
                <c:v>35 - 44</c:v>
              </c:pt>
              <c:pt idx="2">
                <c:v>45 - 54</c:v>
              </c:pt>
              <c:pt idx="3">
                <c:v>Under 25</c:v>
              </c:pt>
              <c:pt idx="4">
                <c:v>Over 55</c:v>
              </c:pt>
            </c:strLit>
          </c:cat>
          <c:val>
            <c:numLit>
              <c:formatCode>General</c:formatCode>
              <c:ptCount val="5"/>
              <c:pt idx="0">
                <c:v>554</c:v>
              </c:pt>
              <c:pt idx="1">
                <c:v>505</c:v>
              </c:pt>
              <c:pt idx="2">
                <c:v>245</c:v>
              </c:pt>
              <c:pt idx="3">
                <c:v>97</c:v>
              </c:pt>
              <c:pt idx="4">
                <c:v>69</c:v>
              </c:pt>
            </c:numLit>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microsoft.com/office/2014/relationships/chartEx" Target="../charts/chartEx2.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78100" y="2768600"/>
              <a:ext cx="9982200" cy="3879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127000</xdr:colOff>
      <xdr:row>15</xdr:row>
      <xdr:rowOff>12700</xdr:rowOff>
    </xdr:from>
    <xdr:to>
      <xdr:col>23</xdr:col>
      <xdr:colOff>647700</xdr:colOff>
      <xdr:row>34</xdr:row>
      <xdr:rowOff>76200</xdr:rowOff>
    </xdr:to>
    <xdr:graphicFrame macro="">
      <xdr:nvGraphicFramePr>
        <xdr:cNvPr id="4" name="Chart 3">
          <a:extLst>
            <a:ext uri="{FF2B5EF4-FFF2-40B4-BE49-F238E27FC236}">
              <a16:creationId xmlns:a16="http://schemas.microsoft.com/office/drawing/2014/main" id="{78ED3D96-7524-4834-BC25-6726A4578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406400</xdr:colOff>
      <xdr:row>14</xdr:row>
      <xdr:rowOff>152400</xdr:rowOff>
    </xdr:from>
    <xdr:to>
      <xdr:col>13</xdr:col>
      <xdr:colOff>1047750</xdr:colOff>
      <xdr:row>27</xdr:row>
      <xdr:rowOff>130172</xdr:rowOff>
    </xdr:to>
    <mc:AlternateContent xmlns:mc="http://schemas.openxmlformats.org/markup-compatibility/2006">
      <mc:Choice xmlns:a14="http://schemas.microsoft.com/office/drawing/2010/main" Requires="a14">
        <xdr:graphicFrame macro="">
          <xdr:nvGraphicFramePr>
            <xdr:cNvPr id="5" name="Education 2">
              <a:extLst>
                <a:ext uri="{FF2B5EF4-FFF2-40B4-BE49-F238E27FC236}">
                  <a16:creationId xmlns:a16="http://schemas.microsoft.com/office/drawing/2014/main" id="{33BFE4FB-FFB0-4BB5-9A88-C9AC7E313B56}"/>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13030200" y="2908300"/>
              <a:ext cx="1828800" cy="2536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406400</xdr:colOff>
      <xdr:row>14</xdr:row>
      <xdr:rowOff>152400</xdr:rowOff>
    </xdr:from>
    <xdr:ext cx="1828800" cy="2536822"/>
    <mc:AlternateContent xmlns:mc="http://schemas.openxmlformats.org/markup-compatibility/2006">
      <mc:Choice xmlns:a14="http://schemas.microsoft.com/office/drawing/2010/main" Requires="a14">
        <xdr:graphicFrame macro="">
          <xdr:nvGraphicFramePr>
            <xdr:cNvPr id="6" name="Education 3">
              <a:extLst>
                <a:ext uri="{FF2B5EF4-FFF2-40B4-BE49-F238E27FC236}">
                  <a16:creationId xmlns:a16="http://schemas.microsoft.com/office/drawing/2014/main" id="{6B4F0024-561F-4DE9-B02C-D41F39F2A0B8}"/>
                </a:ext>
              </a:extLst>
            </xdr:cNvPr>
            <xdr:cNvGraphicFramePr/>
          </xdr:nvGraphicFramePr>
          <xdr:xfrm>
            <a:off x="0" y="0"/>
            <a:ext cx="0" cy="0"/>
          </xdr:xfrm>
          <a:graphic>
            <a:graphicData uri="http://schemas.microsoft.com/office/drawing/2010/slicer">
              <sle:slicer xmlns:sle="http://schemas.microsoft.com/office/drawing/2010/slicer" name="Education 3"/>
            </a:graphicData>
          </a:graphic>
        </xdr:graphicFrame>
      </mc:Choice>
      <mc:Fallback>
        <xdr:sp macro="" textlink="">
          <xdr:nvSpPr>
            <xdr:cNvPr id="0" name=""/>
            <xdr:cNvSpPr>
              <a:spLocks noTextEdit="1"/>
            </xdr:cNvSpPr>
          </xdr:nvSpPr>
          <xdr:spPr>
            <a:xfrm>
              <a:off x="18357850" y="2908300"/>
              <a:ext cx="1828800" cy="2536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73850" y="2768600"/>
              <a:ext cx="4495800" cy="2660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800100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6889</xdr:colOff>
      <xdr:row>8</xdr:row>
      <xdr:rowOff>131445</xdr:rowOff>
    </xdr:from>
    <xdr:to>
      <xdr:col>9</xdr:col>
      <xdr:colOff>340725</xdr:colOff>
      <xdr:row>10</xdr:row>
      <xdr:rowOff>58792</xdr:rowOff>
    </xdr:to>
    <xdr:pic>
      <xdr:nvPicPr>
        <xdr:cNvPr id="7" name="Picture 6">
          <a:extLst>
            <a:ext uri="{FF2B5EF4-FFF2-40B4-BE49-F238E27FC236}">
              <a16:creationId xmlns:a16="http://schemas.microsoft.com/office/drawing/2014/main" id="{B5C10E6B-2C9E-49F6-AF69-2E3094585195}"/>
            </a:ext>
          </a:extLst>
        </xdr:cNvPr>
        <xdr:cNvPicPr>
          <a:picLocks noChangeAspect="1"/>
        </xdr:cNvPicPr>
      </xdr:nvPicPr>
      <xdr:blipFill>
        <a:blip xmlns:r="http://schemas.openxmlformats.org/officeDocument/2006/relationships" r:embed="rId2"/>
        <a:stretch>
          <a:fillRect/>
        </a:stretch>
      </xdr:blipFill>
      <xdr:spPr>
        <a:xfrm>
          <a:off x="2699289" y="2887345"/>
          <a:ext cx="333836" cy="321047"/>
        </a:xfrm>
        <a:prstGeom prst="rect">
          <a:avLst/>
        </a:prstGeom>
      </xdr:spPr>
    </xdr:pic>
    <xdr:clientData/>
  </xdr:twoCellAnchor>
  <xdr:twoCellAnchor editAs="oneCell">
    <xdr:from>
      <xdr:col>13</xdr:col>
      <xdr:colOff>521336</xdr:colOff>
      <xdr:row>8</xdr:row>
      <xdr:rowOff>70486</xdr:rowOff>
    </xdr:from>
    <xdr:to>
      <xdr:col>14</xdr:col>
      <xdr:colOff>59301</xdr:colOff>
      <xdr:row>9</xdr:row>
      <xdr:rowOff>185768</xdr:rowOff>
    </xdr:to>
    <xdr:pic>
      <xdr:nvPicPr>
        <xdr:cNvPr id="8" name="Picture 7">
          <a:extLst>
            <a:ext uri="{FF2B5EF4-FFF2-40B4-BE49-F238E27FC236}">
              <a16:creationId xmlns:a16="http://schemas.microsoft.com/office/drawing/2014/main" id="{F14A5D24-BF1D-4151-A9CC-455C3D9E81BD}"/>
            </a:ext>
          </a:extLst>
        </xdr:cNvPr>
        <xdr:cNvPicPr>
          <a:picLocks noChangeAspect="1"/>
        </xdr:cNvPicPr>
      </xdr:nvPicPr>
      <xdr:blipFill>
        <a:blip xmlns:r="http://schemas.openxmlformats.org/officeDocument/2006/relationships" r:embed="rId3"/>
        <a:stretch>
          <a:fillRect/>
        </a:stretch>
      </xdr:blipFill>
      <xdr:spPr>
        <a:xfrm>
          <a:off x="5906136" y="2826386"/>
          <a:ext cx="350765" cy="312132"/>
        </a:xfrm>
        <a:prstGeom prst="rect">
          <a:avLst/>
        </a:prstGeom>
      </xdr:spPr>
    </xdr:pic>
    <xdr:clientData/>
  </xdr:twoCellAnchor>
  <xdr:twoCellAnchor editAs="oneCell">
    <xdr:from>
      <xdr:col>15</xdr:col>
      <xdr:colOff>443866</xdr:colOff>
      <xdr:row>7</xdr:row>
      <xdr:rowOff>169546</xdr:rowOff>
    </xdr:from>
    <xdr:to>
      <xdr:col>15</xdr:col>
      <xdr:colOff>769645</xdr:colOff>
      <xdr:row>9</xdr:row>
      <xdr:rowOff>96545</xdr:rowOff>
    </xdr:to>
    <xdr:pic>
      <xdr:nvPicPr>
        <xdr:cNvPr id="9" name="Picture 8">
          <a:extLst>
            <a:ext uri="{FF2B5EF4-FFF2-40B4-BE49-F238E27FC236}">
              <a16:creationId xmlns:a16="http://schemas.microsoft.com/office/drawing/2014/main" id="{3D0F9276-8CB2-48CE-8943-AF3060CFFAC9}"/>
            </a:ext>
          </a:extLst>
        </xdr:cNvPr>
        <xdr:cNvPicPr>
          <a:picLocks noChangeAspect="1"/>
        </xdr:cNvPicPr>
      </xdr:nvPicPr>
      <xdr:blipFill>
        <a:blip xmlns:r="http://schemas.openxmlformats.org/officeDocument/2006/relationships" r:embed="rId4"/>
        <a:stretch>
          <a:fillRect/>
        </a:stretch>
      </xdr:blipFill>
      <xdr:spPr>
        <a:xfrm>
          <a:off x="7174866" y="2728596"/>
          <a:ext cx="325779" cy="320699"/>
        </a:xfrm>
        <a:prstGeom prst="rect">
          <a:avLst/>
        </a:prstGeom>
      </xdr:spPr>
    </xdr:pic>
    <xdr:clientData/>
  </xdr:twoCellAnchor>
  <xdr:twoCellAnchor editAs="oneCell">
    <xdr:from>
      <xdr:col>17</xdr:col>
      <xdr:colOff>296887</xdr:colOff>
      <xdr:row>8</xdr:row>
      <xdr:rowOff>142876</xdr:rowOff>
    </xdr:from>
    <xdr:to>
      <xdr:col>17</xdr:col>
      <xdr:colOff>593194</xdr:colOff>
      <xdr:row>10</xdr:row>
      <xdr:rowOff>21778</xdr:rowOff>
    </xdr:to>
    <xdr:pic>
      <xdr:nvPicPr>
        <xdr:cNvPr id="10" name="Picture 9">
          <a:extLst>
            <a:ext uri="{FF2B5EF4-FFF2-40B4-BE49-F238E27FC236}">
              <a16:creationId xmlns:a16="http://schemas.microsoft.com/office/drawing/2014/main" id="{5DA2804B-C738-4450-9E95-D51C3BE9DF28}"/>
            </a:ext>
          </a:extLst>
        </xdr:cNvPr>
        <xdr:cNvPicPr>
          <a:picLocks noChangeAspect="1"/>
        </xdr:cNvPicPr>
      </xdr:nvPicPr>
      <xdr:blipFill>
        <a:blip xmlns:r="http://schemas.openxmlformats.org/officeDocument/2006/relationships" r:embed="rId5"/>
        <a:stretch>
          <a:fillRect/>
        </a:stretch>
      </xdr:blipFill>
      <xdr:spPr>
        <a:xfrm>
          <a:off x="8374087" y="2898776"/>
          <a:ext cx="296307" cy="272602"/>
        </a:xfrm>
        <a:prstGeom prst="rect">
          <a:avLst/>
        </a:prstGeom>
      </xdr:spPr>
    </xdr:pic>
    <xdr:clientData/>
  </xdr:twoCellAnchor>
  <xdr:twoCellAnchor editAs="oneCell">
    <xdr:from>
      <xdr:col>11</xdr:col>
      <xdr:colOff>436246</xdr:colOff>
      <xdr:row>8</xdr:row>
      <xdr:rowOff>85726</xdr:rowOff>
    </xdr:from>
    <xdr:to>
      <xdr:col>12</xdr:col>
      <xdr:colOff>44133</xdr:colOff>
      <xdr:row>10</xdr:row>
      <xdr:rowOff>107633</xdr:rowOff>
    </xdr:to>
    <xdr:pic>
      <xdr:nvPicPr>
        <xdr:cNvPr id="11" name="Picture 10">
          <a:extLst>
            <a:ext uri="{FF2B5EF4-FFF2-40B4-BE49-F238E27FC236}">
              <a16:creationId xmlns:a16="http://schemas.microsoft.com/office/drawing/2014/main" id="{2103148D-177C-4892-90A8-0F6596605242}"/>
            </a:ext>
          </a:extLst>
        </xdr:cNvPr>
        <xdr:cNvPicPr>
          <a:picLocks noChangeAspect="1"/>
        </xdr:cNvPicPr>
      </xdr:nvPicPr>
      <xdr:blipFill>
        <a:blip xmlns:r="http://schemas.openxmlformats.org/officeDocument/2006/relationships" r:embed="rId6"/>
        <a:stretch>
          <a:fillRect/>
        </a:stretch>
      </xdr:blipFill>
      <xdr:spPr>
        <a:xfrm>
          <a:off x="4474846" y="2841626"/>
          <a:ext cx="420687" cy="415607"/>
        </a:xfrm>
        <a:prstGeom prst="rect">
          <a:avLst/>
        </a:prstGeom>
      </xdr:spPr>
    </xdr:pic>
    <xdr:clientData/>
  </xdr:twoCellAnchor>
  <xdr:twoCellAnchor editAs="oneCell">
    <xdr:from>
      <xdr:col>6</xdr:col>
      <xdr:colOff>0</xdr:colOff>
      <xdr:row>4</xdr:row>
      <xdr:rowOff>56540</xdr:rowOff>
    </xdr:from>
    <xdr:to>
      <xdr:col>6</xdr:col>
      <xdr:colOff>542926</xdr:colOff>
      <xdr:row>7</xdr:row>
      <xdr:rowOff>5106</xdr:rowOff>
    </xdr:to>
    <xdr:pic>
      <xdr:nvPicPr>
        <xdr:cNvPr id="12" name="Picture 11">
          <a:extLst>
            <a:ext uri="{FF2B5EF4-FFF2-40B4-BE49-F238E27FC236}">
              <a16:creationId xmlns:a16="http://schemas.microsoft.com/office/drawing/2014/main" id="{EEFB96AB-A7E5-41EB-AC30-EC350C4B2F23}"/>
            </a:ext>
          </a:extLst>
        </xdr:cNvPr>
        <xdr:cNvPicPr>
          <a:picLocks noChangeAspect="1"/>
        </xdr:cNvPicPr>
      </xdr:nvPicPr>
      <xdr:blipFill>
        <a:blip xmlns:r="http://schemas.openxmlformats.org/officeDocument/2006/relationships" r:embed="rId7"/>
        <a:stretch>
          <a:fillRect/>
        </a:stretch>
      </xdr:blipFill>
      <xdr:spPr>
        <a:xfrm>
          <a:off x="673100" y="2025040"/>
          <a:ext cx="542926" cy="539116"/>
        </a:xfrm>
        <a:prstGeom prst="rect">
          <a:avLst/>
        </a:prstGeom>
      </xdr:spPr>
    </xdr:pic>
    <xdr:clientData/>
  </xdr:twoCellAnchor>
  <xdr:twoCellAnchor editAs="oneCell">
    <xdr:from>
      <xdr:col>10</xdr:col>
      <xdr:colOff>144780</xdr:colOff>
      <xdr:row>2</xdr:row>
      <xdr:rowOff>22860</xdr:rowOff>
    </xdr:from>
    <xdr:to>
      <xdr:col>10</xdr:col>
      <xdr:colOff>803935</xdr:colOff>
      <xdr:row>5</xdr:row>
      <xdr:rowOff>85115</xdr:rowOff>
    </xdr:to>
    <xdr:pic>
      <xdr:nvPicPr>
        <xdr:cNvPr id="13" name="Picture 12">
          <a:extLst>
            <a:ext uri="{FF2B5EF4-FFF2-40B4-BE49-F238E27FC236}">
              <a16:creationId xmlns:a16="http://schemas.microsoft.com/office/drawing/2014/main" id="{6341F3D5-2344-495D-9641-73968A306AF5}"/>
            </a:ext>
          </a:extLst>
        </xdr:cNvPr>
        <xdr:cNvPicPr>
          <a:picLocks noChangeAspect="1"/>
        </xdr:cNvPicPr>
      </xdr:nvPicPr>
      <xdr:blipFill>
        <a:blip xmlns:r="http://schemas.openxmlformats.org/officeDocument/2006/relationships" r:embed="rId8"/>
        <a:stretch>
          <a:fillRect/>
        </a:stretch>
      </xdr:blipFill>
      <xdr:spPr>
        <a:xfrm>
          <a:off x="3510280" y="1597660"/>
          <a:ext cx="659155" cy="652805"/>
        </a:xfrm>
        <a:prstGeom prst="rect">
          <a:avLst/>
        </a:prstGeom>
      </xdr:spPr>
    </xdr:pic>
    <xdr:clientData/>
  </xdr:twoCellAnchor>
  <xdr:twoCellAnchor>
    <xdr:from>
      <xdr:col>8</xdr:col>
      <xdr:colOff>0</xdr:colOff>
      <xdr:row>43</xdr:row>
      <xdr:rowOff>152400</xdr:rowOff>
    </xdr:from>
    <xdr:to>
      <xdr:col>11</xdr:col>
      <xdr:colOff>254000</xdr:colOff>
      <xdr:row>57</xdr:row>
      <xdr:rowOff>57150</xdr:rowOff>
    </xdr:to>
    <xdr:graphicFrame macro="">
      <xdr:nvGraphicFramePr>
        <xdr:cNvPr id="14" name="Chart 13">
          <a:extLst>
            <a:ext uri="{FF2B5EF4-FFF2-40B4-BE49-F238E27FC236}">
              <a16:creationId xmlns:a16="http://schemas.microsoft.com/office/drawing/2014/main" id="{2A89DED8-E5B0-49F7-A53C-8CF1B07D7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6755918" cy="7895150"/>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671300" y="2660650"/>
              <a:ext cx="5638800" cy="2533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47300" y="5613400"/>
              <a:ext cx="3581400" cy="2349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9.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940DF7-2C35-4B51-880A-81A2ABE90AF5}" name="PivotTable2"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M4:N10"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65570D-BA3C-4144-9863-2528526EE6D0}" name="PivotTable1"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I37:J43"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5"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3" name="Attrition By Job Role"/>
    <pivotTable tabId="16" name="Attrition By Marriage Status"/>
    <pivotTable tabId="14" name="Department-wise Attrition"/>
    <pivotTable tabId="7" name="KPI"/>
    <pivotTable tabId="9" name="Rating"/>
    <pivotTable tabId="16" name="PivotTable1"/>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3" name="Attrition By Job Role"/>
    <pivotTable tabId="14" name="Department-wise Attrition"/>
    <pivotTable tabId="10" name="Employee by Gender"/>
    <pivotTable tabId="7" name="KPI"/>
    <pivotTable tabId="9" name="Rating"/>
    <pivotTable tabId="16" name="PivotTable1"/>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3" name="Attrition By Job Role"/>
    <pivotTable tabId="14" name="Department-wise Attrition"/>
    <pivotTable tabId="10" name="Employee by Gender"/>
    <pivotTable tabId="7" name="KPI"/>
    <pivotTable tabId="9" name="Rating"/>
    <pivotTable tabId="16" name="PivotTable1"/>
  </pivotTables>
  <data>
    <tabular pivotCacheId="1538952553">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A155F4F9-FFB5-4B35-BB2C-14B44B4CC678}" sourceName="Education">
  <pivotTables>
    <pivotTable tabId="13" name="PivotTable2"/>
  </pivotTables>
  <data>
    <tabular pivotCacheId="1538952553">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2" xr10:uid="{424C97B1-11D1-4F20-9AD8-4D9F70DCF418}" cache="Slicer_Education1" caption="Education" rowHeight="251883"/>
  <slicer name="Education 3" xr10:uid="{28B4E6F7-BC3C-4B91-9E8B-7647610704C0}" cache="Slicer_Education1"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4.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D7" sqref="D7"/>
    </sheetView>
  </sheetViews>
  <sheetFormatPr defaultColWidth="8.83203125" defaultRowHeight="15.5" x14ac:dyDescent="0.35"/>
  <cols>
    <col min="1" max="1" width="10.5" bestFit="1" customWidth="1"/>
    <col min="2" max="2" width="16.5" bestFit="1" customWidth="1"/>
    <col min="3" max="3" width="14.1640625" bestFit="1" customWidth="1"/>
    <col min="4" max="4" width="17.83203125" bestFit="1" customWidth="1"/>
    <col min="5" max="5" width="13.6640625" bestFit="1" customWidth="1"/>
    <col min="6" max="6" width="16.1640625" bestFit="1" customWidth="1"/>
    <col min="7" max="7" width="11" bestFit="1" customWidth="1"/>
    <col min="8" max="8" width="19.1640625" bestFit="1" customWidth="1"/>
    <col min="9" max="9" width="9.6640625" bestFit="1" customWidth="1"/>
    <col min="10" max="10" width="23.1640625" bestFit="1" customWidth="1"/>
    <col min="11" max="11" width="15.33203125" bestFit="1" customWidth="1"/>
    <col min="12" max="12" width="12.33203125" bestFit="1" customWidth="1"/>
    <col min="13" max="13" width="9.6640625" bestFit="1" customWidth="1"/>
    <col min="14" max="14" width="24.1640625" bestFit="1" customWidth="1"/>
    <col min="15" max="15" width="5.33203125" bestFit="1" customWidth="1"/>
    <col min="16" max="16" width="4.6640625" bestFit="1" customWidth="1"/>
    <col min="17" max="17" width="6.83203125" bestFit="1" customWidth="1"/>
    <col min="18" max="18" width="18.33203125" bestFit="1" customWidth="1"/>
    <col min="19" max="19" width="19.33203125" bestFit="1" customWidth="1"/>
    <col min="20" max="20" width="17.1640625" bestFit="1" customWidth="1"/>
    <col min="21" max="21" width="21.33203125" bestFit="1" customWidth="1"/>
    <col min="22" max="22" width="12.33203125" bestFit="1" customWidth="1"/>
    <col min="23" max="23" width="21.33203125" bestFit="1" customWidth="1"/>
    <col min="24" max="24" width="16.33203125" bestFit="1" customWidth="1"/>
    <col min="25" max="25" width="17" bestFit="1" customWidth="1"/>
    <col min="26" max="26" width="24.6640625" bestFit="1" customWidth="1"/>
    <col min="27" max="27" width="13.5" bestFit="1" customWidth="1"/>
    <col min="28" max="28" width="17.1640625" bestFit="1" customWidth="1"/>
    <col min="29" max="29" width="11.1640625" bestFit="1" customWidth="1"/>
    <col min="30" max="30" width="16.5" bestFit="1" customWidth="1"/>
    <col min="31" max="31" width="17" bestFit="1" customWidth="1"/>
    <col min="32" max="32" width="14.83203125" bestFit="1" customWidth="1"/>
    <col min="33" max="33" width="24.5" bestFit="1" customWidth="1"/>
    <col min="34" max="34" width="20" bestFit="1" customWidth="1"/>
    <col min="35" max="35" width="20.1640625" bestFit="1" customWidth="1"/>
    <col min="36" max="36" width="24.33203125" bestFit="1" customWidth="1"/>
    <col min="37" max="37" width="16.33203125" bestFit="1" customWidth="1"/>
    <col min="38" max="38" width="19.1640625" bestFit="1" customWidth="1"/>
    <col min="39" max="39" width="20.5" bestFit="1" customWidth="1"/>
    <col min="40" max="41" width="18.83203125" bestFit="1" customWidth="1"/>
    <col min="42" max="42" width="21" bestFit="1" customWidth="1"/>
    <col min="43" max="43" width="26.1640625" bestFit="1" customWidth="1"/>
    <col min="44" max="44" width="24.6640625" bestFit="1"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H16" sqref="H16"/>
    </sheetView>
  </sheetViews>
  <sheetFormatPr defaultColWidth="10.6640625" defaultRowHeight="15.5" x14ac:dyDescent="0.35"/>
  <cols>
    <col min="1" max="1" width="24.1640625" bestFit="1" customWidth="1"/>
    <col min="2" max="2" width="22.33203125" bestFit="1" customWidth="1"/>
    <col min="3" max="3" width="13.4140625" bestFit="1" customWidth="1"/>
    <col min="4" max="4" width="15.5" bestFit="1" customWidth="1"/>
    <col min="5" max="5" width="12.33203125" bestFit="1" customWidth="1"/>
  </cols>
  <sheetData>
    <row r="3" spans="1:5" x14ac:dyDescent="0.35">
      <c r="A3" t="s">
        <v>1554</v>
      </c>
      <c r="B3" t="s">
        <v>1555</v>
      </c>
      <c r="C3" t="s">
        <v>1556</v>
      </c>
    </row>
    <row r="4" spans="1:5" x14ac:dyDescent="0.35">
      <c r="A4" s="1">
        <v>1470</v>
      </c>
      <c r="B4" s="1">
        <v>237</v>
      </c>
      <c r="C4" s="1">
        <v>36.923809523809524</v>
      </c>
    </row>
    <row r="6" spans="1:5" x14ac:dyDescent="0.35">
      <c r="A6" s="2" t="s">
        <v>1557</v>
      </c>
      <c r="B6" s="2" t="s">
        <v>1558</v>
      </c>
      <c r="C6" s="2" t="s">
        <v>1559</v>
      </c>
      <c r="D6" s="2" t="s">
        <v>1560</v>
      </c>
      <c r="E6" s="2" t="s">
        <v>1561</v>
      </c>
    </row>
    <row r="7" spans="1:5" x14ac:dyDescent="0.35">
      <c r="A7">
        <f>GETPIVOTDATA("Count of Employee Number",$A$3)</f>
        <v>1470</v>
      </c>
      <c r="B7">
        <f>GETPIVOTDATA("Sum of CF_attrition count",$A$3)</f>
        <v>237</v>
      </c>
      <c r="C7" s="5">
        <f>GETPIVOTDATA("Average of Age",$A$3)</f>
        <v>36.923809523809524</v>
      </c>
      <c r="D7">
        <f>GETPIVOTDATA("Count of Employee Number",$A$3)-GETPIVOTDATA("Sum of CF_attrition count",$A$3)</f>
        <v>1233</v>
      </c>
      <c r="E7" s="4">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7" sqref="C7"/>
    </sheetView>
  </sheetViews>
  <sheetFormatPr defaultColWidth="10.6640625" defaultRowHeight="15.5" x14ac:dyDescent="0.35"/>
  <cols>
    <col min="1" max="1" width="23.4140625" bestFit="1" customWidth="1"/>
  </cols>
  <sheetData>
    <row r="3" spans="1:3" x14ac:dyDescent="0.35">
      <c r="A3" t="s">
        <v>1562</v>
      </c>
    </row>
    <row r="4" spans="1:3" x14ac:dyDescent="0.35">
      <c r="A4" s="5">
        <v>2.6265306122448981</v>
      </c>
    </row>
    <row r="6" spans="1:3" x14ac:dyDescent="0.35">
      <c r="A6" t="s">
        <v>1563</v>
      </c>
      <c r="B6" s="5">
        <f>GETPIVOTDATA("Job Satisfaction",$A$3)</f>
        <v>2.6265306122448981</v>
      </c>
      <c r="C6" s="4">
        <f>B6/4</f>
        <v>0.65663265306122454</v>
      </c>
    </row>
    <row r="7" spans="1:3" x14ac:dyDescent="0.35">
      <c r="A7" s="5" t="s">
        <v>1564</v>
      </c>
      <c r="B7" s="5">
        <f>4-B6</f>
        <v>1.3734693877551019</v>
      </c>
      <c r="C7" s="4">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zoomScaleNormal="100" workbookViewId="0">
      <selection activeCell="AL33" sqref="AL33"/>
    </sheetView>
  </sheetViews>
  <sheetFormatPr defaultColWidth="10.6640625" defaultRowHeight="15.5" x14ac:dyDescent="0.35"/>
  <cols>
    <col min="1" max="1" width="12.25" bestFit="1" customWidth="1"/>
    <col min="2" max="2" width="24.1640625" bestFit="1" customWidth="1"/>
    <col min="3" max="3" width="12.1640625" bestFit="1" customWidth="1"/>
    <col min="4" max="7" width="2.1640625" bestFit="1" customWidth="1"/>
    <col min="8" max="77" width="3.1640625" bestFit="1" customWidth="1"/>
    <col min="78" max="718" width="4.1640625" bestFit="1" customWidth="1"/>
    <col min="719" max="1471" width="5.1640625" bestFit="1" customWidth="1"/>
  </cols>
  <sheetData>
    <row r="3" spans="1:3" x14ac:dyDescent="0.35">
      <c r="A3" s="7" t="s">
        <v>1565</v>
      </c>
      <c r="B3" t="s">
        <v>1554</v>
      </c>
    </row>
    <row r="4" spans="1:3" x14ac:dyDescent="0.35">
      <c r="A4" s="8" t="s">
        <v>51</v>
      </c>
      <c r="B4" s="1">
        <v>588</v>
      </c>
    </row>
    <row r="5" spans="1:3" x14ac:dyDescent="0.35">
      <c r="A5" s="8" t="s">
        <v>62</v>
      </c>
      <c r="B5" s="1">
        <v>882</v>
      </c>
    </row>
    <row r="6" spans="1:3" x14ac:dyDescent="0.35">
      <c r="A6" s="8" t="s">
        <v>1566</v>
      </c>
      <c r="B6" s="1">
        <v>1470</v>
      </c>
    </row>
    <row r="11" spans="1:3" x14ac:dyDescent="0.35">
      <c r="A11" t="s">
        <v>51</v>
      </c>
      <c r="B11">
        <f>IFERROR(GETPIVOTDATA("Employee Number",$A$3,"Gender","Female"),0)</f>
        <v>588</v>
      </c>
      <c r="C11" s="3">
        <f>IFERROR(B11/($B$11+$B$12),0)</f>
        <v>0.4</v>
      </c>
    </row>
    <row r="12" spans="1:3" x14ac:dyDescent="0.35">
      <c r="A12" t="s">
        <v>62</v>
      </c>
      <c r="B12">
        <f>IFERROR(GETPIVOTDATA("Employee Number",$A$3,"Gender","Male"),0)</f>
        <v>882</v>
      </c>
      <c r="C12" s="3">
        <f>IFERROR(B12/($B$11+$B$12),0)</f>
        <v>0.6</v>
      </c>
    </row>
    <row r="13" spans="1:3" x14ac:dyDescent="0.35">
      <c r="C13" s="4"/>
    </row>
    <row r="16" spans="1:3" x14ac:dyDescent="0.35">
      <c r="C16" s="4"/>
    </row>
    <row r="17" spans="3:3" x14ac:dyDescent="0.35">
      <c r="C1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X13"/>
  <sheetViews>
    <sheetView topLeftCell="F1" workbookViewId="0">
      <selection activeCell="M3" sqref="M3:X45"/>
    </sheetView>
  </sheetViews>
  <sheetFormatPr defaultColWidth="10.6640625" defaultRowHeight="15.5" x14ac:dyDescent="0.35"/>
  <cols>
    <col min="1" max="1" width="22.83203125" bestFit="1" customWidth="1"/>
    <col min="2" max="2" width="23.6640625" bestFit="1" customWidth="1"/>
    <col min="5" max="5" width="23.1640625" bestFit="1" customWidth="1"/>
    <col min="13" max="13" width="15.58203125" bestFit="1" customWidth="1"/>
    <col min="14" max="14" width="22.33203125" bestFit="1" customWidth="1"/>
  </cols>
  <sheetData>
    <row r="3" spans="1:24" x14ac:dyDescent="0.35">
      <c r="A3" s="7" t="s">
        <v>1565</v>
      </c>
      <c r="B3" t="s">
        <v>1567</v>
      </c>
      <c r="E3" t="s">
        <v>9</v>
      </c>
      <c r="F3" t="s">
        <v>0</v>
      </c>
    </row>
    <row r="4" spans="1:24" x14ac:dyDescent="0.35">
      <c r="A4" s="8" t="s">
        <v>83</v>
      </c>
      <c r="B4" s="1">
        <v>131</v>
      </c>
      <c r="E4" t="str">
        <f>A4</f>
        <v>Healthcare Representative</v>
      </c>
      <c r="F4">
        <f>GETPIVOTDATA("CF_attrition count",$A$3,"Job Role","Healthcare Representative")</f>
        <v>131</v>
      </c>
      <c r="M4" s="7" t="s">
        <v>1565</v>
      </c>
      <c r="N4" t="s">
        <v>1555</v>
      </c>
      <c r="R4" t="s">
        <v>1565</v>
      </c>
      <c r="S4" t="s">
        <v>1555</v>
      </c>
      <c r="W4" t="s">
        <v>1565</v>
      </c>
      <c r="X4" t="s">
        <v>1555</v>
      </c>
    </row>
    <row r="5" spans="1:24" x14ac:dyDescent="0.35">
      <c r="A5" s="8" t="s">
        <v>163</v>
      </c>
      <c r="B5" s="1">
        <v>52</v>
      </c>
      <c r="E5" t="str">
        <f t="shared" ref="E5:E12" si="0">A5</f>
        <v>Human Resources</v>
      </c>
      <c r="F5">
        <f>GETPIVOTDATA("CF_attrition count",$A$3,"Job Role","Human Resources")</f>
        <v>52</v>
      </c>
      <c r="M5" s="8" t="s">
        <v>134</v>
      </c>
      <c r="N5" s="1">
        <v>5</v>
      </c>
      <c r="R5" s="8" t="s">
        <v>134</v>
      </c>
      <c r="S5" s="1">
        <v>5</v>
      </c>
      <c r="W5" s="8" t="s">
        <v>134</v>
      </c>
      <c r="X5" s="1">
        <v>5</v>
      </c>
    </row>
    <row r="6" spans="1:24" x14ac:dyDescent="0.35">
      <c r="A6" s="8" t="s">
        <v>68</v>
      </c>
      <c r="B6" s="1">
        <v>259</v>
      </c>
      <c r="E6" t="str">
        <f t="shared" si="0"/>
        <v>Laboratory Technician</v>
      </c>
      <c r="F6">
        <f>GETPIVOTDATA("CF_attrition count",$A$3,"Job Role","Laboratory Technician")</f>
        <v>259</v>
      </c>
      <c r="M6" s="8" t="s">
        <v>65</v>
      </c>
      <c r="N6" s="1">
        <v>31</v>
      </c>
      <c r="R6" s="8" t="s">
        <v>65</v>
      </c>
      <c r="S6" s="1">
        <v>31</v>
      </c>
      <c r="W6" s="8" t="s">
        <v>65</v>
      </c>
      <c r="X6" s="1">
        <v>31</v>
      </c>
    </row>
    <row r="7" spans="1:24" x14ac:dyDescent="0.35">
      <c r="A7" s="8" t="s">
        <v>95</v>
      </c>
      <c r="B7" s="1">
        <v>102</v>
      </c>
      <c r="E7" t="str">
        <f t="shared" si="0"/>
        <v>Manager</v>
      </c>
      <c r="F7">
        <f>GETPIVOTDATA("CF_attrition count",$A$3,"Job Role","Manager")</f>
        <v>102</v>
      </c>
      <c r="M7" s="8" t="s">
        <v>55</v>
      </c>
      <c r="N7" s="1">
        <v>44</v>
      </c>
      <c r="R7" s="8" t="s">
        <v>55</v>
      </c>
      <c r="S7" s="1">
        <v>44</v>
      </c>
      <c r="W7" s="8" t="s">
        <v>55</v>
      </c>
      <c r="X7" s="1">
        <v>44</v>
      </c>
    </row>
    <row r="8" spans="1:24" x14ac:dyDescent="0.35">
      <c r="A8" s="8" t="s">
        <v>81</v>
      </c>
      <c r="B8" s="1">
        <v>145</v>
      </c>
      <c r="E8" t="str">
        <f t="shared" si="0"/>
        <v>Manufacturing Director</v>
      </c>
      <c r="F8">
        <f>GETPIVOTDATA("CF_attrition count",$A$3,"Job Role","Manufacturing Director")</f>
        <v>145</v>
      </c>
      <c r="M8" s="8" t="s">
        <v>71</v>
      </c>
      <c r="N8" s="1">
        <v>58</v>
      </c>
      <c r="R8" s="8" t="s">
        <v>71</v>
      </c>
      <c r="S8" s="1">
        <v>58</v>
      </c>
      <c r="W8" s="8" t="s">
        <v>71</v>
      </c>
      <c r="X8" s="1">
        <v>58</v>
      </c>
    </row>
    <row r="9" spans="1:24" x14ac:dyDescent="0.35">
      <c r="A9" s="8" t="s">
        <v>101</v>
      </c>
      <c r="B9" s="1">
        <v>80</v>
      </c>
      <c r="E9" t="str">
        <f t="shared" si="0"/>
        <v>Research Director</v>
      </c>
      <c r="F9">
        <f>GETPIVOTDATA("CF_attrition count",$A$3,"Job Role","Research Director")</f>
        <v>80</v>
      </c>
      <c r="M9" s="8" t="s">
        <v>77</v>
      </c>
      <c r="N9" s="1">
        <v>99</v>
      </c>
      <c r="R9" s="8" t="s">
        <v>77</v>
      </c>
      <c r="S9" s="1">
        <v>99</v>
      </c>
      <c r="W9" s="8" t="s">
        <v>77</v>
      </c>
      <c r="X9" s="1">
        <v>99</v>
      </c>
    </row>
    <row r="10" spans="1:24" x14ac:dyDescent="0.35">
      <c r="A10" s="8" t="s">
        <v>63</v>
      </c>
      <c r="B10" s="1">
        <v>292</v>
      </c>
      <c r="E10" t="str">
        <f t="shared" si="0"/>
        <v>Research Scientist</v>
      </c>
      <c r="F10">
        <f>GETPIVOTDATA("CF_attrition count",$A$3,"Job Role","Research Scientist")</f>
        <v>292</v>
      </c>
      <c r="M10" s="8" t="s">
        <v>1566</v>
      </c>
      <c r="N10" s="1">
        <v>237</v>
      </c>
      <c r="R10" s="8" t="s">
        <v>1566</v>
      </c>
      <c r="S10" s="1">
        <v>237</v>
      </c>
      <c r="W10" s="8" t="s">
        <v>1566</v>
      </c>
      <c r="X10" s="1">
        <v>237</v>
      </c>
    </row>
    <row r="11" spans="1:24" x14ac:dyDescent="0.35">
      <c r="A11" s="8" t="s">
        <v>52</v>
      </c>
      <c r="B11" s="1">
        <v>326</v>
      </c>
      <c r="E11" t="str">
        <f t="shared" si="0"/>
        <v>Sales Executive</v>
      </c>
      <c r="F11">
        <f>GETPIVOTDATA("CF_attrition count",$A$3,"Job Role","Sales Executive")</f>
        <v>326</v>
      </c>
    </row>
    <row r="12" spans="1:24" x14ac:dyDescent="0.35">
      <c r="A12" s="8" t="s">
        <v>99</v>
      </c>
      <c r="B12" s="1">
        <v>83</v>
      </c>
      <c r="E12" t="str">
        <f t="shared" si="0"/>
        <v>Sales Representative</v>
      </c>
      <c r="F12">
        <f>GETPIVOTDATA("CF_attrition count",$A$3,"Job Role","Sales Representative")</f>
        <v>83</v>
      </c>
    </row>
    <row r="13" spans="1:24" x14ac:dyDescent="0.35">
      <c r="A13" s="8" t="s">
        <v>1566</v>
      </c>
      <c r="B13" s="1">
        <v>1470</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A5" sqref="A5"/>
    </sheetView>
  </sheetViews>
  <sheetFormatPr defaultColWidth="10.6640625" defaultRowHeight="15.5" x14ac:dyDescent="0.35"/>
  <cols>
    <col min="1" max="1" width="12.25" bestFit="1" customWidth="1"/>
    <col min="2" max="2" width="22.33203125" bestFit="1" customWidth="1"/>
    <col min="4" max="4" width="11" bestFit="1" customWidth="1"/>
  </cols>
  <sheetData>
    <row r="3" spans="1:6" x14ac:dyDescent="0.35">
      <c r="A3" s="7" t="s">
        <v>1565</v>
      </c>
      <c r="B3" t="s">
        <v>1555</v>
      </c>
      <c r="D3" t="s">
        <v>4</v>
      </c>
      <c r="E3" t="s">
        <v>0</v>
      </c>
      <c r="F3" t="s">
        <v>1568</v>
      </c>
    </row>
    <row r="4" spans="1:6" x14ac:dyDescent="0.35">
      <c r="A4" s="8" t="s">
        <v>161</v>
      </c>
      <c r="B4" s="1">
        <v>12</v>
      </c>
      <c r="D4" t="str">
        <f>A4</f>
        <v>HR</v>
      </c>
      <c r="E4">
        <f>GETPIVOTDATA("CF_attrition count",$A$3,"Department",A4)</f>
        <v>12</v>
      </c>
      <c r="F4" s="4">
        <f>E4/GETPIVOTDATA("CF_attrition count",$A$3)</f>
        <v>5.0632911392405063E-2</v>
      </c>
    </row>
    <row r="5" spans="1:6" x14ac:dyDescent="0.35">
      <c r="A5" s="8" t="s">
        <v>60</v>
      </c>
      <c r="B5" s="1">
        <v>133</v>
      </c>
      <c r="D5" t="str">
        <f t="shared" ref="D5:D6" si="0">A5</f>
        <v>R&amp;D</v>
      </c>
      <c r="E5">
        <f t="shared" ref="E5:E6" si="1">GETPIVOTDATA("CF_attrition count",$A$3,"Department",A5)</f>
        <v>133</v>
      </c>
      <c r="F5" s="4">
        <f>E5/GETPIVOTDATA("CF_attrition count",$A$3)</f>
        <v>0.56118143459915615</v>
      </c>
    </row>
    <row r="6" spans="1:6" x14ac:dyDescent="0.35">
      <c r="A6" s="8" t="s">
        <v>48</v>
      </c>
      <c r="B6" s="1">
        <v>92</v>
      </c>
      <c r="D6" t="str">
        <f t="shared" si="0"/>
        <v>Sales</v>
      </c>
      <c r="E6">
        <f t="shared" si="1"/>
        <v>92</v>
      </c>
      <c r="F6" s="4">
        <f>E6/GETPIVOTDATA("CF_attrition count",$A$3)</f>
        <v>0.3881856540084388</v>
      </c>
    </row>
    <row r="7" spans="1:6" x14ac:dyDescent="0.35">
      <c r="A7" s="8" t="s">
        <v>1566</v>
      </c>
      <c r="B7" s="1">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J43"/>
  <sheetViews>
    <sheetView topLeftCell="A41" workbookViewId="0">
      <selection activeCell="I35" sqref="I35:L59"/>
    </sheetView>
  </sheetViews>
  <sheetFormatPr defaultColWidth="10.6640625" defaultRowHeight="15.5" x14ac:dyDescent="0.35"/>
  <cols>
    <col min="1" max="1" width="12.25" bestFit="1" customWidth="1"/>
    <col min="2" max="2" width="23.6640625" bestFit="1" customWidth="1"/>
    <col min="4" max="4" width="12.83203125" bestFit="1" customWidth="1"/>
    <col min="9" max="9" width="12.25" bestFit="1" customWidth="1"/>
    <col min="10" max="10" width="23.6640625" bestFit="1" customWidth="1"/>
  </cols>
  <sheetData>
    <row r="3" spans="1:5" x14ac:dyDescent="0.35">
      <c r="A3" s="7" t="s">
        <v>1565</v>
      </c>
      <c r="B3" t="s">
        <v>1567</v>
      </c>
      <c r="D3" t="s">
        <v>10</v>
      </c>
      <c r="E3" t="s">
        <v>0</v>
      </c>
    </row>
    <row r="4" spans="1:5" x14ac:dyDescent="0.35">
      <c r="A4" s="8" t="s">
        <v>79</v>
      </c>
      <c r="B4" s="1">
        <v>327</v>
      </c>
      <c r="D4" t="str">
        <f>A4</f>
        <v>Divorced</v>
      </c>
      <c r="E4">
        <f>GETPIVOTDATA("CF_attrition count",$A$3,"Marital Status",A4)</f>
        <v>327</v>
      </c>
    </row>
    <row r="5" spans="1:5" x14ac:dyDescent="0.35">
      <c r="A5" s="8" t="s">
        <v>53</v>
      </c>
      <c r="B5" s="1">
        <v>470</v>
      </c>
      <c r="D5" t="str">
        <f t="shared" ref="D5:D6" si="0">A5</f>
        <v>Single</v>
      </c>
      <c r="E5">
        <f t="shared" ref="E5:E6" si="1">GETPIVOTDATA("CF_attrition count",$A$3,"Marital Status",A5)</f>
        <v>470</v>
      </c>
    </row>
    <row r="6" spans="1:5" x14ac:dyDescent="0.35">
      <c r="A6" s="8" t="s">
        <v>64</v>
      </c>
      <c r="B6" s="1">
        <v>673</v>
      </c>
      <c r="D6" t="str">
        <f t="shared" si="0"/>
        <v>Married</v>
      </c>
      <c r="E6">
        <f t="shared" si="1"/>
        <v>673</v>
      </c>
    </row>
    <row r="7" spans="1:5" x14ac:dyDescent="0.35">
      <c r="A7" s="8" t="s">
        <v>1566</v>
      </c>
      <c r="B7" s="1">
        <v>1470</v>
      </c>
    </row>
    <row r="37" spans="9:10" x14ac:dyDescent="0.35">
      <c r="I37" s="7" t="s">
        <v>1565</v>
      </c>
      <c r="J37" t="s">
        <v>1567</v>
      </c>
    </row>
    <row r="38" spans="9:10" x14ac:dyDescent="0.35">
      <c r="I38" s="8" t="s">
        <v>69</v>
      </c>
      <c r="J38" s="1">
        <v>554</v>
      </c>
    </row>
    <row r="39" spans="9:10" x14ac:dyDescent="0.35">
      <c r="I39" s="8" t="s">
        <v>46</v>
      </c>
      <c r="J39" s="1">
        <v>505</v>
      </c>
    </row>
    <row r="40" spans="9:10" x14ac:dyDescent="0.35">
      <c r="I40" s="8" t="s">
        <v>58</v>
      </c>
      <c r="J40" s="1">
        <v>245</v>
      </c>
    </row>
    <row r="41" spans="9:10" x14ac:dyDescent="0.35">
      <c r="I41" s="8" t="s">
        <v>92</v>
      </c>
      <c r="J41" s="1">
        <v>97</v>
      </c>
    </row>
    <row r="42" spans="9:10" x14ac:dyDescent="0.35">
      <c r="I42" s="8" t="s">
        <v>75</v>
      </c>
      <c r="J42" s="1">
        <v>69</v>
      </c>
    </row>
    <row r="43" spans="9:10" x14ac:dyDescent="0.35">
      <c r="I43" s="8" t="s">
        <v>1566</v>
      </c>
      <c r="J43" s="1">
        <v>1470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tabSelected="1" zoomScale="55" zoomScaleNormal="55" workbookViewId="0">
      <selection activeCell="A29" sqref="A29"/>
    </sheetView>
  </sheetViews>
  <sheetFormatPr defaultColWidth="10.6640625" defaultRowHeight="15.5" x14ac:dyDescent="0.35"/>
  <sheetData>
    <row r="1" spans="1:24" x14ac:dyDescent="0.35">
      <c r="A1" s="6"/>
      <c r="B1" s="6"/>
      <c r="C1" s="6"/>
      <c r="D1" s="6"/>
      <c r="E1" s="6"/>
      <c r="F1" s="6"/>
      <c r="G1" s="6"/>
      <c r="H1" s="6"/>
      <c r="I1" s="6"/>
      <c r="J1" s="6"/>
      <c r="K1" s="6"/>
      <c r="L1" s="6"/>
      <c r="M1" s="6"/>
      <c r="N1" s="6"/>
      <c r="O1" s="6"/>
      <c r="P1" s="6"/>
      <c r="Q1" s="6"/>
      <c r="R1" s="6"/>
      <c r="S1" s="6"/>
      <c r="T1" s="6"/>
      <c r="U1" s="6"/>
      <c r="V1" s="6"/>
      <c r="W1" s="6"/>
      <c r="X1" s="6"/>
    </row>
    <row r="2" spans="1:24" x14ac:dyDescent="0.35">
      <c r="A2" s="6"/>
      <c r="B2" s="6"/>
      <c r="C2" s="6"/>
      <c r="D2" s="6"/>
      <c r="E2" s="6"/>
      <c r="F2" s="6"/>
      <c r="G2" s="6"/>
      <c r="H2" s="6"/>
      <c r="I2" s="6"/>
      <c r="J2" s="6"/>
      <c r="K2" s="6"/>
      <c r="L2" s="6"/>
      <c r="M2" s="6"/>
      <c r="N2" s="6"/>
      <c r="O2" s="6"/>
      <c r="P2" s="6"/>
      <c r="Q2" s="6"/>
      <c r="R2" s="6"/>
      <c r="S2" s="6"/>
      <c r="T2" s="6"/>
      <c r="U2" s="6"/>
      <c r="V2" s="6"/>
      <c r="W2" s="6"/>
      <c r="X2" s="6"/>
    </row>
    <row r="3" spans="1:24" x14ac:dyDescent="0.35">
      <c r="A3" s="6"/>
      <c r="B3" s="6"/>
      <c r="C3" s="6"/>
      <c r="D3" s="6"/>
      <c r="E3" s="6"/>
      <c r="F3" s="6"/>
      <c r="G3" s="6"/>
      <c r="H3" s="6"/>
      <c r="I3" s="6"/>
      <c r="J3" s="6"/>
      <c r="K3" s="6"/>
      <c r="L3" s="6"/>
      <c r="M3" s="6"/>
      <c r="N3" s="6"/>
      <c r="O3" s="6"/>
      <c r="P3" s="6"/>
      <c r="Q3" s="6"/>
      <c r="R3" s="6"/>
      <c r="S3" s="6"/>
      <c r="T3" s="6"/>
      <c r="U3" s="6"/>
      <c r="V3" s="6"/>
      <c r="W3" s="6"/>
      <c r="X3" s="6"/>
    </row>
    <row r="4" spans="1:24" x14ac:dyDescent="0.35">
      <c r="A4" s="6"/>
      <c r="B4" s="6"/>
      <c r="C4" s="6"/>
      <c r="D4" s="6"/>
      <c r="E4" s="6"/>
      <c r="F4" s="6"/>
      <c r="G4" s="6"/>
      <c r="H4" s="6"/>
      <c r="I4" s="6"/>
      <c r="J4" s="6"/>
      <c r="K4" s="6"/>
      <c r="L4" s="6"/>
      <c r="M4" s="6"/>
      <c r="N4" s="6"/>
      <c r="O4" s="6"/>
      <c r="P4" s="6"/>
      <c r="Q4" s="6"/>
      <c r="R4" s="6"/>
      <c r="S4" s="6"/>
      <c r="T4" s="6"/>
      <c r="U4" s="6"/>
      <c r="V4" s="6"/>
      <c r="W4" s="6"/>
      <c r="X4" s="6"/>
    </row>
    <row r="5" spans="1:24" x14ac:dyDescent="0.35">
      <c r="A5" s="6"/>
      <c r="B5" s="6"/>
      <c r="C5" s="6"/>
      <c r="D5" s="6"/>
      <c r="E5" s="6"/>
      <c r="F5" s="6"/>
      <c r="G5" s="6"/>
      <c r="H5" s="6"/>
      <c r="I5" s="6"/>
      <c r="J5" s="6"/>
      <c r="K5" s="6"/>
      <c r="L5" s="6"/>
      <c r="M5" s="6"/>
      <c r="N5" s="6"/>
      <c r="O5" s="6"/>
      <c r="P5" s="6"/>
      <c r="Q5" s="6"/>
      <c r="R5" s="6"/>
      <c r="S5" s="6"/>
      <c r="T5" s="6"/>
      <c r="U5" s="6"/>
      <c r="V5" s="6"/>
      <c r="W5" s="6"/>
      <c r="X5" s="6"/>
    </row>
    <row r="6" spans="1:24" x14ac:dyDescent="0.35">
      <c r="A6" s="6"/>
      <c r="B6" s="6"/>
      <c r="C6" s="6"/>
      <c r="D6" s="6"/>
      <c r="E6" s="6"/>
      <c r="F6" s="6"/>
      <c r="G6" s="6"/>
      <c r="H6" s="6"/>
      <c r="I6" s="6"/>
      <c r="J6" s="6"/>
      <c r="K6" s="6"/>
      <c r="L6" s="6"/>
      <c r="M6" s="6"/>
      <c r="N6" s="6"/>
      <c r="O6" s="6"/>
      <c r="P6" s="6"/>
      <c r="Q6" s="6"/>
      <c r="R6" s="6"/>
      <c r="S6" s="6"/>
      <c r="T6" s="6"/>
      <c r="U6" s="6"/>
      <c r="V6" s="6"/>
      <c r="W6" s="6"/>
      <c r="X6" s="6"/>
    </row>
    <row r="7" spans="1:24" x14ac:dyDescent="0.35">
      <c r="A7" s="6"/>
      <c r="B7" s="6"/>
      <c r="C7" s="6"/>
      <c r="D7" s="6"/>
      <c r="E7" s="6"/>
      <c r="F7" s="6"/>
      <c r="G7" s="6"/>
      <c r="H7" s="6"/>
      <c r="I7" s="6"/>
      <c r="J7" s="6"/>
      <c r="K7" s="6"/>
      <c r="L7" s="6"/>
      <c r="M7" s="6"/>
      <c r="N7" s="6"/>
      <c r="O7" s="6"/>
      <c r="P7" s="6"/>
      <c r="Q7" s="6"/>
      <c r="R7" s="6"/>
      <c r="S7" s="6"/>
      <c r="T7" s="6"/>
      <c r="U7" s="6"/>
      <c r="V7" s="6"/>
      <c r="W7" s="6"/>
      <c r="X7" s="6"/>
    </row>
    <row r="8" spans="1:24" x14ac:dyDescent="0.35">
      <c r="A8" s="6"/>
      <c r="B8" s="6"/>
      <c r="C8" s="6"/>
      <c r="D8" s="6"/>
      <c r="E8" s="6"/>
      <c r="F8" s="6"/>
      <c r="G8" s="6"/>
      <c r="H8" s="6"/>
      <c r="I8" s="6"/>
      <c r="J8" s="6"/>
      <c r="K8" s="6"/>
      <c r="L8" s="6"/>
      <c r="M8" s="6"/>
      <c r="N8" s="6"/>
      <c r="O8" s="6"/>
      <c r="P8" s="6"/>
      <c r="Q8" s="6"/>
      <c r="R8" s="6"/>
      <c r="S8" s="6"/>
      <c r="T8" s="6"/>
      <c r="U8" s="6"/>
      <c r="V8" s="6"/>
      <c r="W8" s="6"/>
      <c r="X8" s="6"/>
    </row>
    <row r="9" spans="1:24" x14ac:dyDescent="0.35">
      <c r="A9" s="6"/>
      <c r="B9" s="6"/>
      <c r="C9" s="6"/>
      <c r="D9" s="6"/>
      <c r="E9" s="6"/>
      <c r="F9" s="6"/>
      <c r="G9" s="6"/>
      <c r="H9" s="6"/>
      <c r="I9" s="6"/>
      <c r="J9" s="6"/>
      <c r="K9" s="6"/>
      <c r="L9" s="6"/>
      <c r="M9" s="6"/>
      <c r="N9" s="6"/>
      <c r="O9" s="6"/>
      <c r="P9" s="6"/>
      <c r="Q9" s="6"/>
      <c r="R9" s="6"/>
      <c r="S9" s="6"/>
      <c r="T9" s="6"/>
      <c r="U9" s="6"/>
      <c r="V9" s="6"/>
      <c r="W9" s="6"/>
      <c r="X9" s="6"/>
    </row>
    <row r="10" spans="1:24" x14ac:dyDescent="0.35">
      <c r="A10" s="6"/>
      <c r="B10" s="6"/>
      <c r="C10" s="6"/>
      <c r="D10" s="6"/>
      <c r="E10" s="6"/>
      <c r="F10" s="6"/>
      <c r="G10" s="6"/>
      <c r="H10" s="6"/>
      <c r="I10" s="6"/>
      <c r="J10" s="6"/>
      <c r="K10" s="6"/>
      <c r="L10" s="6"/>
      <c r="M10" s="6"/>
      <c r="N10" s="6"/>
      <c r="O10" s="6"/>
      <c r="P10" s="6"/>
      <c r="Q10" s="6"/>
      <c r="R10" s="6"/>
      <c r="S10" s="6"/>
      <c r="T10" s="6"/>
      <c r="U10" s="6"/>
      <c r="V10" s="6"/>
      <c r="W10" s="6"/>
      <c r="X10" s="6"/>
    </row>
    <row r="11" spans="1:24" x14ac:dyDescent="0.35">
      <c r="A11" s="6"/>
      <c r="B11" s="6"/>
      <c r="C11" s="6"/>
      <c r="D11" s="6"/>
      <c r="E11" s="6"/>
      <c r="F11" s="6"/>
      <c r="G11" s="6"/>
      <c r="H11" s="6"/>
      <c r="I11" s="6"/>
      <c r="J11" s="6"/>
      <c r="K11" s="6"/>
      <c r="L11" s="6"/>
      <c r="M11" s="6"/>
      <c r="N11" s="6"/>
      <c r="O11" s="6"/>
      <c r="P11" s="6"/>
      <c r="Q11" s="6"/>
      <c r="R11" s="6"/>
      <c r="S11" s="6"/>
      <c r="T11" s="6"/>
      <c r="U11" s="6"/>
      <c r="V11" s="6"/>
      <c r="W11" s="6"/>
      <c r="X11" s="6"/>
    </row>
    <row r="12" spans="1:24" x14ac:dyDescent="0.35">
      <c r="A12" s="6"/>
      <c r="B12" s="6"/>
      <c r="C12" s="6"/>
      <c r="D12" s="6"/>
      <c r="E12" s="6"/>
      <c r="F12" s="6"/>
      <c r="G12" s="6"/>
      <c r="H12" s="6"/>
      <c r="I12" s="6"/>
      <c r="J12" s="6"/>
      <c r="K12" s="6"/>
      <c r="L12" s="6"/>
      <c r="M12" s="6"/>
      <c r="N12" s="6"/>
      <c r="O12" s="6"/>
      <c r="P12" s="6"/>
      <c r="Q12" s="6"/>
      <c r="R12" s="6"/>
      <c r="S12" s="6"/>
      <c r="T12" s="6"/>
      <c r="U12" s="6"/>
      <c r="V12" s="6"/>
      <c r="W12" s="6"/>
      <c r="X12" s="6"/>
    </row>
    <row r="13" spans="1:24" x14ac:dyDescent="0.35">
      <c r="A13" s="6"/>
      <c r="B13" s="6"/>
      <c r="C13" s="6"/>
      <c r="D13" s="6"/>
      <c r="E13" s="6"/>
      <c r="F13" s="6"/>
      <c r="G13" s="6"/>
      <c r="H13" s="6"/>
      <c r="I13" s="6"/>
      <c r="J13" s="6"/>
      <c r="K13" s="6"/>
      <c r="L13" s="6"/>
      <c r="M13" s="6"/>
      <c r="N13" s="6"/>
      <c r="O13" s="6"/>
      <c r="P13" s="6"/>
      <c r="Q13" s="6"/>
      <c r="R13" s="6"/>
      <c r="S13" s="6"/>
      <c r="T13" s="6"/>
      <c r="U13" s="6"/>
      <c r="V13" s="6"/>
      <c r="W13" s="6"/>
      <c r="X13" s="6"/>
    </row>
    <row r="14" spans="1:24" x14ac:dyDescent="0.35">
      <c r="A14" s="6"/>
      <c r="B14" s="6"/>
      <c r="C14" s="6"/>
      <c r="D14" s="6"/>
      <c r="E14" s="6"/>
      <c r="F14" s="6"/>
      <c r="G14" s="6"/>
      <c r="H14" s="6"/>
      <c r="I14" s="6"/>
      <c r="J14" s="6"/>
      <c r="K14" s="6"/>
      <c r="L14" s="6"/>
      <c r="M14" s="6"/>
      <c r="N14" s="6"/>
      <c r="O14" s="6"/>
      <c r="P14" s="6"/>
      <c r="Q14" s="6"/>
      <c r="R14" s="6"/>
      <c r="S14" s="6"/>
      <c r="T14" s="6"/>
      <c r="U14" s="6"/>
      <c r="V14" s="6"/>
      <c r="W14" s="6"/>
      <c r="X14" s="6"/>
    </row>
    <row r="15" spans="1:24" x14ac:dyDescent="0.35">
      <c r="A15" s="6"/>
      <c r="B15" s="6"/>
      <c r="C15" s="6"/>
      <c r="D15" s="6"/>
      <c r="E15" s="6"/>
      <c r="F15" s="6"/>
      <c r="G15" s="6"/>
      <c r="H15" s="6"/>
      <c r="I15" s="6"/>
      <c r="J15" s="6"/>
      <c r="K15" s="6"/>
      <c r="L15" s="6"/>
      <c r="M15" s="6"/>
      <c r="N15" s="6"/>
      <c r="O15" s="6"/>
      <c r="P15" s="6"/>
      <c r="Q15" s="6"/>
      <c r="R15" s="6"/>
      <c r="S15" s="6"/>
      <c r="T15" s="6"/>
      <c r="U15" s="6"/>
      <c r="V15" s="6"/>
      <c r="W15" s="6"/>
      <c r="X15" s="6"/>
    </row>
    <row r="16" spans="1:24" x14ac:dyDescent="0.35">
      <c r="A16" s="6"/>
      <c r="B16" s="6"/>
      <c r="C16" s="6"/>
      <c r="D16" s="6"/>
      <c r="E16" s="6"/>
      <c r="F16" s="6"/>
      <c r="G16" s="6"/>
      <c r="H16" s="6"/>
      <c r="I16" s="6"/>
      <c r="J16" s="6"/>
      <c r="K16" s="6"/>
      <c r="L16" s="6"/>
      <c r="M16" s="6"/>
      <c r="N16" s="6"/>
      <c r="O16" s="6"/>
      <c r="P16" s="6"/>
      <c r="Q16" s="6"/>
      <c r="R16" s="6"/>
      <c r="S16" s="6"/>
      <c r="T16" s="6"/>
      <c r="U16" s="6"/>
      <c r="V16" s="6"/>
      <c r="W16" s="6"/>
      <c r="X16" s="6"/>
    </row>
    <row r="17" spans="1:24" x14ac:dyDescent="0.35">
      <c r="A17" s="6"/>
      <c r="B17" s="6"/>
      <c r="C17" s="6"/>
      <c r="D17" s="6"/>
      <c r="E17" s="6"/>
      <c r="F17" s="6"/>
      <c r="G17" s="6"/>
      <c r="H17" s="6"/>
      <c r="I17" s="6"/>
      <c r="J17" s="6"/>
      <c r="K17" s="6"/>
      <c r="L17" s="6"/>
      <c r="M17" s="6"/>
      <c r="N17" s="6"/>
      <c r="O17" s="6"/>
      <c r="P17" s="6"/>
      <c r="Q17" s="6"/>
      <c r="R17" s="6"/>
      <c r="S17" s="6"/>
      <c r="T17" s="6"/>
      <c r="U17" s="6"/>
      <c r="V17" s="6"/>
      <c r="W17" s="6"/>
      <c r="X17" s="6"/>
    </row>
    <row r="18" spans="1:24" x14ac:dyDescent="0.35">
      <c r="A18" s="6"/>
      <c r="B18" s="6"/>
      <c r="C18" s="6"/>
      <c r="D18" s="6"/>
      <c r="E18" s="6"/>
      <c r="F18" s="6"/>
      <c r="G18" s="6"/>
      <c r="H18" s="6"/>
      <c r="I18" s="6"/>
      <c r="J18" s="6"/>
      <c r="K18" s="6"/>
      <c r="L18" s="6"/>
      <c r="M18" s="6"/>
      <c r="N18" s="6"/>
      <c r="O18" s="6"/>
      <c r="P18" s="6"/>
      <c r="Q18" s="6"/>
      <c r="R18" s="6"/>
      <c r="S18" s="6"/>
      <c r="T18" s="6"/>
      <c r="U18" s="6"/>
      <c r="V18" s="6"/>
      <c r="W18" s="6"/>
      <c r="X18" s="6"/>
    </row>
    <row r="19" spans="1:24" x14ac:dyDescent="0.35">
      <c r="A19" s="6"/>
      <c r="B19" s="6"/>
      <c r="C19" s="6"/>
      <c r="D19" s="6"/>
      <c r="E19" s="6"/>
      <c r="F19" s="6"/>
      <c r="G19" s="6"/>
      <c r="H19" s="6"/>
      <c r="I19" s="6"/>
      <c r="J19" s="6"/>
      <c r="K19" s="6"/>
      <c r="L19" s="6"/>
      <c r="M19" s="6"/>
      <c r="N19" s="6"/>
      <c r="O19" s="6"/>
      <c r="P19" s="6"/>
      <c r="Q19" s="6"/>
      <c r="R19" s="6"/>
      <c r="S19" s="6"/>
      <c r="T19" s="6"/>
      <c r="U19" s="6"/>
      <c r="V19" s="6"/>
      <c r="W19" s="6"/>
      <c r="X19" s="6"/>
    </row>
    <row r="20" spans="1:24" x14ac:dyDescent="0.35">
      <c r="A20" s="6"/>
      <c r="B20" s="6"/>
      <c r="C20" s="6"/>
      <c r="D20" s="6"/>
      <c r="E20" s="6"/>
      <c r="F20" s="6"/>
      <c r="G20" s="6"/>
      <c r="H20" s="6"/>
      <c r="I20" s="6"/>
      <c r="J20" s="6"/>
      <c r="K20" s="6"/>
      <c r="L20" s="6"/>
      <c r="M20" s="6"/>
      <c r="N20" s="6"/>
      <c r="O20" s="6"/>
      <c r="P20" s="6"/>
      <c r="Q20" s="6"/>
      <c r="R20" s="6"/>
      <c r="S20" s="6"/>
      <c r="T20" s="6"/>
      <c r="U20" s="6"/>
      <c r="V20" s="6"/>
      <c r="W20" s="6"/>
      <c r="X20" s="6"/>
    </row>
    <row r="21" spans="1:24" x14ac:dyDescent="0.35">
      <c r="A21" s="6"/>
      <c r="B21" s="6"/>
      <c r="C21" s="6"/>
      <c r="D21" s="6"/>
      <c r="E21" s="6"/>
      <c r="F21" s="6"/>
      <c r="G21" s="6"/>
      <c r="H21" s="6"/>
      <c r="I21" s="6"/>
      <c r="J21" s="6"/>
      <c r="K21" s="6"/>
      <c r="L21" s="6"/>
      <c r="M21" s="6"/>
      <c r="N21" s="6"/>
      <c r="O21" s="6"/>
      <c r="P21" s="6"/>
      <c r="Q21" s="6"/>
      <c r="R21" s="6"/>
      <c r="S21" s="6"/>
      <c r="T21" s="6"/>
      <c r="U21" s="6"/>
      <c r="V21" s="6"/>
      <c r="W21" s="6"/>
      <c r="X21" s="6"/>
    </row>
    <row r="22" spans="1:24" x14ac:dyDescent="0.35">
      <c r="A22" s="6"/>
      <c r="B22" s="6"/>
      <c r="C22" s="6"/>
      <c r="D22" s="6"/>
      <c r="E22" s="6"/>
      <c r="F22" s="6"/>
      <c r="G22" s="6"/>
      <c r="H22" s="6"/>
      <c r="I22" s="6"/>
      <c r="J22" s="6"/>
      <c r="K22" s="6"/>
      <c r="L22" s="6"/>
      <c r="M22" s="6"/>
      <c r="N22" s="6"/>
      <c r="O22" s="6"/>
      <c r="P22" s="6"/>
      <c r="Q22" s="6"/>
      <c r="R22" s="6"/>
      <c r="S22" s="6"/>
      <c r="T22" s="6"/>
      <c r="U22" s="6"/>
      <c r="V22" s="6"/>
      <c r="W22" s="6"/>
      <c r="X22" s="6"/>
    </row>
    <row r="23" spans="1:24" x14ac:dyDescent="0.35">
      <c r="A23" s="6"/>
      <c r="B23" s="6"/>
      <c r="C23" s="6"/>
      <c r="D23" s="6"/>
      <c r="E23" s="6"/>
      <c r="F23" s="6"/>
      <c r="G23" s="6"/>
      <c r="H23" s="6"/>
      <c r="I23" s="6"/>
      <c r="J23" s="6"/>
      <c r="K23" s="6"/>
      <c r="L23" s="6"/>
      <c r="M23" s="6"/>
      <c r="N23" s="6"/>
      <c r="O23" s="6"/>
      <c r="P23" s="6"/>
      <c r="Q23" s="6"/>
      <c r="R23" s="6"/>
      <c r="S23" s="6"/>
      <c r="T23" s="6"/>
      <c r="U23" s="6"/>
      <c r="V23" s="6"/>
      <c r="W23" s="6"/>
      <c r="X23" s="6"/>
    </row>
    <row r="24" spans="1:24" x14ac:dyDescent="0.35">
      <c r="A24" s="6"/>
      <c r="B24" s="6"/>
      <c r="C24" s="6"/>
      <c r="D24" s="6"/>
      <c r="E24" s="6"/>
      <c r="F24" s="6"/>
      <c r="G24" s="6"/>
      <c r="H24" s="6"/>
      <c r="I24" s="6"/>
      <c r="J24" s="6"/>
      <c r="K24" s="6"/>
      <c r="L24" s="6"/>
      <c r="M24" s="6"/>
      <c r="N24" s="6"/>
      <c r="O24" s="6"/>
      <c r="P24" s="6"/>
      <c r="Q24" s="6"/>
      <c r="R24" s="6"/>
      <c r="S24" s="6"/>
      <c r="T24" s="6"/>
      <c r="U24" s="6"/>
      <c r="V24" s="6"/>
      <c r="W24" s="6"/>
      <c r="X24" s="6"/>
    </row>
    <row r="25" spans="1:24" x14ac:dyDescent="0.35">
      <c r="A25" s="6"/>
      <c r="B25" s="6"/>
      <c r="C25" s="6"/>
      <c r="D25" s="6"/>
      <c r="E25" s="6"/>
      <c r="F25" s="6"/>
      <c r="G25" s="6"/>
      <c r="H25" s="6"/>
      <c r="I25" s="6"/>
      <c r="J25" s="6"/>
      <c r="K25" s="6"/>
      <c r="L25" s="6"/>
      <c r="M25" s="6"/>
      <c r="N25" s="6"/>
      <c r="O25" s="6"/>
      <c r="P25" s="6"/>
      <c r="Q25" s="6"/>
      <c r="R25" s="6"/>
      <c r="S25" s="6"/>
      <c r="T25" s="6"/>
      <c r="U25" s="6"/>
      <c r="V25" s="6"/>
      <c r="W25" s="6"/>
      <c r="X25" s="6"/>
    </row>
    <row r="26" spans="1:24" x14ac:dyDescent="0.35">
      <c r="A26" s="6"/>
      <c r="B26" s="6"/>
      <c r="C26" s="6"/>
      <c r="D26" s="6"/>
      <c r="E26" s="6"/>
      <c r="F26" s="6"/>
      <c r="G26" s="6"/>
      <c r="H26" s="6"/>
      <c r="I26" s="6"/>
      <c r="J26" s="6"/>
      <c r="K26" s="6"/>
      <c r="L26" s="6"/>
      <c r="M26" s="6"/>
      <c r="N26" s="6"/>
      <c r="O26" s="6"/>
      <c r="P26" s="6"/>
      <c r="Q26" s="6"/>
      <c r="R26" s="6"/>
      <c r="S26" s="6"/>
      <c r="T26" s="6"/>
      <c r="U26" s="6"/>
      <c r="V26" s="6"/>
      <c r="W26" s="6"/>
      <c r="X26" s="6"/>
    </row>
    <row r="27" spans="1:24" x14ac:dyDescent="0.35">
      <c r="A27" s="6"/>
      <c r="B27" s="6"/>
      <c r="C27" s="6"/>
      <c r="D27" s="6"/>
      <c r="E27" s="6"/>
      <c r="F27" s="6"/>
      <c r="G27" s="6"/>
      <c r="H27" s="6"/>
      <c r="I27" s="6"/>
      <c r="J27" s="6"/>
      <c r="K27" s="6"/>
      <c r="L27" s="6"/>
      <c r="M27" s="6"/>
      <c r="N27" s="6"/>
      <c r="O27" s="6"/>
      <c r="P27" s="6"/>
      <c r="Q27" s="6"/>
      <c r="R27" s="6"/>
      <c r="S27" s="6"/>
      <c r="T27" s="6"/>
      <c r="U27" s="6"/>
      <c r="V27" s="6"/>
      <c r="W27" s="6"/>
      <c r="X27" s="6"/>
    </row>
    <row r="28" spans="1:24" x14ac:dyDescent="0.35">
      <c r="A28" s="6"/>
      <c r="B28" s="6"/>
      <c r="C28" s="6"/>
      <c r="D28" s="6"/>
      <c r="E28" s="6"/>
      <c r="F28" s="6"/>
      <c r="G28" s="6"/>
      <c r="H28" s="6"/>
      <c r="I28" s="6"/>
      <c r="J28" s="6"/>
      <c r="K28" s="6"/>
      <c r="L28" s="6"/>
      <c r="M28" s="6"/>
      <c r="N28" s="6"/>
      <c r="O28" s="6"/>
      <c r="P28" s="6"/>
      <c r="Q28" s="6"/>
      <c r="R28" s="6"/>
      <c r="S28" s="6"/>
      <c r="T28" s="6"/>
      <c r="U28" s="6"/>
      <c r="V28" s="6"/>
      <c r="W28" s="6"/>
      <c r="X28" s="6"/>
    </row>
    <row r="29" spans="1:24" x14ac:dyDescent="0.35">
      <c r="A29" s="6"/>
      <c r="B29" s="6"/>
      <c r="C29" s="6"/>
      <c r="D29" s="6"/>
      <c r="E29" s="6"/>
      <c r="F29" s="6"/>
      <c r="G29" s="6"/>
      <c r="H29" s="6"/>
      <c r="I29" s="6"/>
      <c r="J29" s="6"/>
      <c r="K29" s="6"/>
      <c r="L29" s="6"/>
      <c r="M29" s="6"/>
      <c r="N29" s="6"/>
      <c r="O29" s="6"/>
      <c r="P29" s="6"/>
      <c r="Q29" s="6"/>
      <c r="R29" s="6"/>
      <c r="S29" s="6"/>
      <c r="T29" s="6"/>
      <c r="U29" s="6"/>
      <c r="V29" s="6"/>
      <c r="W29" s="6"/>
      <c r="X29" s="6"/>
    </row>
    <row r="30" spans="1:24" x14ac:dyDescent="0.35">
      <c r="A30" s="6"/>
      <c r="B30" s="6"/>
      <c r="C30" s="6"/>
      <c r="D30" s="6"/>
      <c r="E30" s="6"/>
      <c r="F30" s="6"/>
      <c r="G30" s="6"/>
      <c r="H30" s="6"/>
      <c r="I30" s="6"/>
      <c r="J30" s="6"/>
      <c r="K30" s="6"/>
      <c r="L30" s="6"/>
      <c r="M30" s="6"/>
      <c r="N30" s="6"/>
      <c r="O30" s="6"/>
      <c r="P30" s="6"/>
      <c r="Q30" s="6"/>
      <c r="R30" s="6"/>
      <c r="S30" s="6"/>
      <c r="T30" s="6"/>
      <c r="U30" s="6"/>
      <c r="V30" s="6"/>
      <c r="W30" s="6"/>
      <c r="X30" s="6"/>
    </row>
    <row r="31" spans="1:24" x14ac:dyDescent="0.35">
      <c r="A31" s="6"/>
      <c r="B31" s="6"/>
      <c r="C31" s="6"/>
      <c r="D31" s="6"/>
      <c r="E31" s="6"/>
      <c r="F31" s="6"/>
      <c r="G31" s="6"/>
      <c r="H31" s="6"/>
      <c r="I31" s="6"/>
      <c r="J31" s="6"/>
      <c r="K31" s="6"/>
      <c r="L31" s="6"/>
      <c r="M31" s="6"/>
      <c r="N31" s="6"/>
      <c r="O31" s="6"/>
      <c r="P31" s="6"/>
      <c r="Q31" s="6"/>
      <c r="R31" s="6"/>
      <c r="S31" s="6"/>
      <c r="T31" s="6"/>
      <c r="U31" s="6"/>
      <c r="V31" s="6"/>
      <c r="W31" s="6"/>
      <c r="X31" s="6"/>
    </row>
    <row r="32" spans="1:24" x14ac:dyDescent="0.35">
      <c r="A32" s="6"/>
      <c r="B32" s="6"/>
      <c r="C32" s="6"/>
      <c r="D32" s="6"/>
      <c r="E32" s="6"/>
      <c r="F32" s="6"/>
      <c r="G32" s="6"/>
      <c r="H32" s="6"/>
      <c r="I32" s="6"/>
      <c r="J32" s="6"/>
      <c r="K32" s="6"/>
      <c r="L32" s="6"/>
      <c r="M32" s="6"/>
      <c r="N32" s="6"/>
      <c r="O32" s="6"/>
      <c r="P32" s="6"/>
      <c r="Q32" s="6"/>
      <c r="R32" s="6"/>
      <c r="S32" s="6"/>
      <c r="T32" s="6"/>
      <c r="U32" s="6"/>
      <c r="V32" s="6"/>
      <c r="W32" s="6"/>
      <c r="X32" s="6"/>
    </row>
    <row r="33" spans="1:24" x14ac:dyDescent="0.35">
      <c r="A33" s="6"/>
      <c r="B33" s="6"/>
      <c r="C33" s="6"/>
      <c r="D33" s="6"/>
      <c r="E33" s="6"/>
      <c r="F33" s="6"/>
      <c r="G33" s="6"/>
      <c r="H33" s="6"/>
      <c r="I33" s="6"/>
      <c r="J33" s="6"/>
      <c r="K33" s="6"/>
      <c r="L33" s="6"/>
      <c r="M33" s="6"/>
      <c r="N33" s="6"/>
      <c r="O33" s="6"/>
      <c r="P33" s="6"/>
      <c r="Q33" s="6"/>
      <c r="R33" s="6"/>
      <c r="S33" s="6"/>
      <c r="T33" s="6"/>
      <c r="U33" s="6"/>
      <c r="V33" s="6"/>
      <c r="W33" s="6"/>
      <c r="X33" s="6"/>
    </row>
    <row r="34" spans="1:24" x14ac:dyDescent="0.35">
      <c r="A34" s="6"/>
      <c r="B34" s="6"/>
      <c r="C34" s="6"/>
      <c r="D34" s="6"/>
      <c r="E34" s="6"/>
      <c r="F34" s="6"/>
      <c r="G34" s="6"/>
      <c r="H34" s="6"/>
      <c r="I34" s="6"/>
      <c r="J34" s="6"/>
      <c r="K34" s="6"/>
      <c r="L34" s="6"/>
      <c r="M34" s="6"/>
      <c r="N34" s="6"/>
      <c r="O34" s="6"/>
      <c r="P34" s="6"/>
      <c r="Q34" s="6"/>
      <c r="R34" s="6"/>
      <c r="S34" s="6"/>
      <c r="T34" s="6"/>
      <c r="U34" s="6"/>
      <c r="V34" s="6"/>
      <c r="W34" s="6"/>
      <c r="X34" s="6"/>
    </row>
    <row r="35" spans="1:24" x14ac:dyDescent="0.35">
      <c r="A35" s="6"/>
      <c r="B35" s="6"/>
      <c r="C35" s="6"/>
      <c r="D35" s="6"/>
      <c r="E35" s="6"/>
      <c r="F35" s="6"/>
      <c r="G35" s="6"/>
      <c r="H35" s="6"/>
      <c r="I35" s="6"/>
      <c r="J35" s="6"/>
      <c r="K35" s="6"/>
      <c r="L35" s="6"/>
      <c r="M35" s="6"/>
      <c r="N35" s="6"/>
      <c r="O35" s="6"/>
      <c r="P35" s="6"/>
      <c r="Q35" s="6"/>
      <c r="R35" s="6"/>
      <c r="S35" s="6"/>
      <c r="T35" s="6"/>
      <c r="U35" s="6"/>
      <c r="V35" s="6"/>
      <c r="W35" s="6"/>
      <c r="X35" s="6"/>
    </row>
    <row r="36" spans="1:24" x14ac:dyDescent="0.35">
      <c r="A36" s="6"/>
      <c r="B36" s="6"/>
      <c r="C36" s="6"/>
      <c r="D36" s="6"/>
      <c r="E36" s="6"/>
      <c r="F36" s="6"/>
      <c r="G36" s="6"/>
      <c r="H36" s="6"/>
      <c r="I36" s="6"/>
      <c r="J36" s="6"/>
      <c r="K36" s="6"/>
      <c r="L36" s="6"/>
      <c r="M36" s="6"/>
      <c r="N36" s="6"/>
      <c r="O36" s="6"/>
      <c r="P36" s="6"/>
      <c r="Q36" s="6"/>
      <c r="R36" s="6"/>
      <c r="S36" s="6"/>
      <c r="T36" s="6"/>
      <c r="U36" s="6"/>
      <c r="V36" s="6"/>
      <c r="W36" s="6"/>
      <c r="X36" s="6"/>
    </row>
    <row r="37" spans="1:24" x14ac:dyDescent="0.35">
      <c r="A37" s="6"/>
      <c r="B37" s="6"/>
      <c r="C37" s="6"/>
      <c r="D37" s="6"/>
      <c r="E37" s="6"/>
      <c r="F37" s="6"/>
      <c r="G37" s="6"/>
      <c r="H37" s="6"/>
      <c r="I37" s="6"/>
      <c r="J37" s="6"/>
      <c r="K37" s="6"/>
      <c r="L37" s="6"/>
      <c r="M37" s="6"/>
      <c r="N37" s="6"/>
      <c r="O37" s="6"/>
      <c r="P37" s="6"/>
      <c r="Q37" s="6"/>
      <c r="R37" s="6"/>
      <c r="S37" s="6"/>
      <c r="T37" s="6"/>
      <c r="U37" s="6"/>
      <c r="V37" s="6"/>
      <c r="W37" s="6"/>
      <c r="X37" s="6"/>
    </row>
    <row r="38" spans="1:24" x14ac:dyDescent="0.35">
      <c r="A38" s="6"/>
      <c r="B38" s="6"/>
      <c r="C38" s="6"/>
      <c r="D38" s="6"/>
      <c r="E38" s="6"/>
      <c r="F38" s="6"/>
      <c r="G38" s="6"/>
      <c r="H38" s="6"/>
      <c r="I38" s="6"/>
      <c r="J38" s="6"/>
      <c r="K38" s="6"/>
      <c r="L38" s="6"/>
      <c r="M38" s="6"/>
      <c r="N38" s="6"/>
      <c r="O38" s="6"/>
      <c r="P38" s="6"/>
      <c r="Q38" s="6"/>
      <c r="R38" s="6"/>
      <c r="S38" s="6"/>
      <c r="T38" s="6"/>
      <c r="U38" s="6"/>
      <c r="V38" s="6"/>
      <c r="W38" s="6"/>
      <c r="X38" s="6"/>
    </row>
    <row r="39" spans="1:24" x14ac:dyDescent="0.35">
      <c r="A39" s="6"/>
      <c r="B39" s="6"/>
      <c r="C39" s="6"/>
      <c r="D39" s="6"/>
      <c r="E39" s="6"/>
      <c r="F39" s="6"/>
      <c r="G39" s="6"/>
      <c r="H39" s="6"/>
      <c r="I39" s="6"/>
      <c r="J39" s="6"/>
      <c r="K39" s="6"/>
      <c r="L39" s="6"/>
      <c r="M39" s="6"/>
      <c r="N39" s="6"/>
      <c r="O39" s="6"/>
      <c r="P39" s="6"/>
      <c r="Q39" s="6"/>
      <c r="R39" s="6"/>
      <c r="S39" s="6"/>
      <c r="T39" s="6"/>
      <c r="U39" s="6"/>
      <c r="V39" s="6"/>
      <c r="W39" s="6"/>
      <c r="X39" s="6"/>
    </row>
    <row r="40" spans="1:24" x14ac:dyDescent="0.35">
      <c r="A40" s="6"/>
      <c r="B40" s="6"/>
      <c r="C40" s="6"/>
      <c r="D40" s="6"/>
      <c r="E40" s="6"/>
      <c r="F40" s="6"/>
      <c r="G40" s="6"/>
      <c r="H40" s="6"/>
      <c r="I40" s="6"/>
      <c r="J40" s="6"/>
      <c r="K40" s="6"/>
      <c r="L40" s="6"/>
      <c r="M40" s="6"/>
      <c r="N40" s="6"/>
      <c r="O40" s="6"/>
      <c r="P40" s="6"/>
      <c r="Q40" s="6"/>
      <c r="R40" s="6"/>
      <c r="S40" s="6"/>
      <c r="T40" s="6"/>
      <c r="U40" s="6"/>
      <c r="V40" s="6"/>
      <c r="W40" s="6"/>
      <c r="X40" s="6"/>
    </row>
    <row r="41" spans="1:24" x14ac:dyDescent="0.35">
      <c r="A41" s="6"/>
      <c r="B41" s="6"/>
      <c r="C41" s="6"/>
      <c r="D41" s="6"/>
      <c r="E41" s="6"/>
      <c r="F41" s="6"/>
      <c r="G41" s="6"/>
      <c r="H41" s="6"/>
      <c r="I41" s="6"/>
      <c r="J41" s="6"/>
      <c r="K41" s="6"/>
      <c r="L41" s="6"/>
      <c r="M41" s="6"/>
      <c r="N41" s="6"/>
      <c r="O41" s="6"/>
      <c r="P41" s="6"/>
      <c r="Q41" s="6"/>
      <c r="R41" s="6"/>
      <c r="S41" s="6"/>
      <c r="T41" s="6"/>
      <c r="U41" s="6"/>
      <c r="V41" s="6"/>
      <c r="W41" s="6"/>
      <c r="X41" s="6"/>
    </row>
    <row r="42" spans="1:24" x14ac:dyDescent="0.35">
      <c r="A42" s="6"/>
      <c r="B42" s="6"/>
      <c r="C42" s="6"/>
      <c r="D42" s="6"/>
      <c r="E42" s="6"/>
      <c r="F42" s="6"/>
      <c r="G42" s="6"/>
      <c r="H42" s="6"/>
      <c r="I42" s="6"/>
      <c r="J42" s="6"/>
      <c r="K42" s="6"/>
      <c r="L42" s="6"/>
      <c r="M42" s="6"/>
      <c r="N42" s="6"/>
      <c r="O42" s="6"/>
      <c r="P42" s="6"/>
      <c r="Q42" s="6"/>
      <c r="R42" s="6"/>
      <c r="S42" s="6"/>
      <c r="T42" s="6"/>
      <c r="U42" s="6"/>
      <c r="V42" s="6"/>
      <c r="W42" s="6"/>
      <c r="X42" s="6"/>
    </row>
    <row r="43" spans="1:24" x14ac:dyDescent="0.35">
      <c r="A43" s="6"/>
      <c r="B43" s="6"/>
      <c r="C43" s="6"/>
      <c r="D43" s="6"/>
      <c r="E43" s="6"/>
      <c r="F43" s="6"/>
      <c r="G43" s="6"/>
      <c r="H43" s="6"/>
      <c r="I43" s="6"/>
      <c r="J43" s="6"/>
      <c r="K43" s="6"/>
      <c r="L43" s="6"/>
      <c r="M43" s="6"/>
      <c r="N43" s="6"/>
      <c r="O43" s="6"/>
      <c r="P43" s="6"/>
      <c r="Q43" s="6"/>
      <c r="R43" s="6"/>
      <c r="S43" s="6"/>
      <c r="T43" s="6"/>
      <c r="U43" s="6"/>
      <c r="V43" s="6"/>
      <c r="W43" s="6"/>
      <c r="X43" s="6"/>
    </row>
    <row r="44" spans="1:24" x14ac:dyDescent="0.35">
      <c r="A44" s="6"/>
      <c r="B44" s="6"/>
      <c r="C44" s="6"/>
      <c r="D44" s="6"/>
      <c r="E44" s="6"/>
      <c r="F44" s="6"/>
      <c r="G44" s="6"/>
      <c r="H44" s="6"/>
      <c r="I44" s="6"/>
      <c r="J44" s="6"/>
      <c r="K44" s="6"/>
      <c r="L44" s="6"/>
      <c r="M44" s="6"/>
      <c r="N44" s="6"/>
      <c r="O44" s="6"/>
      <c r="P44" s="6"/>
      <c r="Q44" s="6"/>
      <c r="R44" s="6"/>
      <c r="S44" s="6"/>
      <c r="T44" s="6"/>
      <c r="U44" s="6"/>
      <c r="V44" s="6"/>
      <c r="W44" s="6"/>
      <c r="X44" s="6"/>
    </row>
    <row r="45" spans="1:24" x14ac:dyDescent="0.35">
      <c r="A45" s="6"/>
      <c r="B45" s="6"/>
      <c r="C45" s="6"/>
      <c r="D45" s="6"/>
      <c r="E45" s="6"/>
      <c r="F45" s="6"/>
      <c r="G45" s="6"/>
      <c r="H45" s="6"/>
      <c r="I45" s="6"/>
      <c r="J45" s="6"/>
      <c r="K45" s="6"/>
      <c r="L45" s="6"/>
      <c r="M45" s="6"/>
      <c r="N45" s="6"/>
      <c r="O45" s="6"/>
      <c r="P45" s="6"/>
      <c r="Q45" s="6"/>
      <c r="R45" s="6"/>
      <c r="S45" s="6"/>
      <c r="T45" s="6"/>
      <c r="U45" s="6"/>
      <c r="V45" s="6"/>
      <c r="W45" s="6"/>
      <c r="X45" s="6"/>
    </row>
    <row r="46" spans="1:24" x14ac:dyDescent="0.35">
      <c r="A46" s="6"/>
      <c r="B46" s="6"/>
      <c r="C46" s="6"/>
      <c r="D46" s="6"/>
      <c r="E46" s="6"/>
      <c r="F46" s="6"/>
      <c r="G46" s="6"/>
      <c r="H46" s="6"/>
      <c r="I46" s="6"/>
      <c r="J46" s="6"/>
      <c r="K46" s="6"/>
      <c r="L46" s="6"/>
      <c r="M46" s="6"/>
      <c r="N46" s="6"/>
      <c r="O46" s="6"/>
      <c r="P46" s="6"/>
      <c r="Q46" s="6"/>
      <c r="R46" s="6"/>
      <c r="S46" s="6"/>
      <c r="T46" s="6"/>
      <c r="U46" s="6"/>
      <c r="V46" s="6"/>
      <c r="W46" s="6"/>
      <c r="X46" s="6"/>
    </row>
    <row r="47" spans="1:24" x14ac:dyDescent="0.35">
      <c r="A47" s="6"/>
      <c r="B47" s="6"/>
      <c r="C47" s="6"/>
      <c r="D47" s="6"/>
      <c r="E47" s="6"/>
      <c r="F47" s="6"/>
      <c r="G47" s="6"/>
      <c r="H47" s="6"/>
      <c r="I47" s="6"/>
      <c r="J47" s="6"/>
      <c r="K47" s="6"/>
      <c r="L47" s="6"/>
      <c r="M47" s="6"/>
      <c r="N47" s="6"/>
      <c r="O47" s="6"/>
      <c r="P47" s="6"/>
      <c r="Q47" s="6"/>
      <c r="R47" s="6"/>
      <c r="S47" s="6"/>
      <c r="T47" s="6"/>
      <c r="U47" s="6"/>
      <c r="V47" s="6"/>
      <c r="W47" s="6"/>
      <c r="X47" s="6"/>
    </row>
    <row r="48" spans="1:24" x14ac:dyDescent="0.35">
      <c r="A48" s="6"/>
      <c r="B48" s="6"/>
      <c r="C48" s="6"/>
      <c r="D48" s="6"/>
      <c r="E48" s="6"/>
      <c r="F48" s="6"/>
      <c r="G48" s="6"/>
      <c r="H48" s="6"/>
      <c r="I48" s="6"/>
      <c r="J48" s="6"/>
      <c r="K48" s="6"/>
      <c r="L48" s="6"/>
      <c r="M48" s="6"/>
      <c r="N48" s="6"/>
      <c r="O48" s="6"/>
      <c r="P48" s="6"/>
      <c r="Q48" s="6"/>
      <c r="R48" s="6"/>
      <c r="S48" s="6"/>
      <c r="T48" s="6"/>
      <c r="U48" s="6"/>
      <c r="V48" s="6"/>
      <c r="W48" s="6"/>
      <c r="X48" s="6"/>
    </row>
    <row r="49" spans="1:24" x14ac:dyDescent="0.35">
      <c r="A49" s="6"/>
      <c r="B49" s="6"/>
      <c r="C49" s="6"/>
      <c r="D49" s="6"/>
      <c r="E49" s="6"/>
      <c r="F49" s="6"/>
      <c r="G49" s="6"/>
      <c r="H49" s="6"/>
      <c r="I49" s="6"/>
      <c r="J49" s="6"/>
      <c r="K49" s="6"/>
      <c r="L49" s="6"/>
      <c r="M49" s="6"/>
      <c r="N49" s="6"/>
      <c r="O49" s="6"/>
      <c r="P49" s="6"/>
      <c r="Q49" s="6"/>
      <c r="R49" s="6"/>
      <c r="S49" s="6"/>
      <c r="T49" s="6"/>
      <c r="U49" s="6"/>
      <c r="V49" s="6"/>
      <c r="W49" s="6"/>
      <c r="X49" s="6"/>
    </row>
    <row r="50" spans="1:24" x14ac:dyDescent="0.35">
      <c r="A50" s="6"/>
      <c r="B50" s="6"/>
      <c r="C50" s="6"/>
      <c r="D50" s="6"/>
      <c r="E50" s="6"/>
      <c r="F50" s="6"/>
      <c r="G50" s="6"/>
      <c r="H50" s="6"/>
      <c r="I50" s="6"/>
      <c r="J50" s="6"/>
      <c r="K50" s="6"/>
      <c r="L50" s="6"/>
      <c r="M50" s="6"/>
      <c r="N50" s="6"/>
      <c r="O50" s="6"/>
      <c r="P50" s="6"/>
      <c r="Q50" s="6"/>
      <c r="R50" s="6"/>
      <c r="S50" s="6"/>
      <c r="T50" s="6"/>
      <c r="U50" s="6"/>
      <c r="V50" s="6"/>
      <c r="W50" s="6"/>
      <c r="X5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KPI</vt:lpstr>
      <vt:lpstr>Rating</vt:lpstr>
      <vt:lpstr>Employee by Gender</vt:lpstr>
      <vt:lpstr>Attrition By Job Role</vt:lpstr>
      <vt:lpstr>Department-wise Attrition</vt:lpstr>
      <vt:lpstr>Attrition By Marriage Status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somnath londhe</cp:lastModifiedBy>
  <dcterms:created xsi:type="dcterms:W3CDTF">2022-12-29T16:02:46Z</dcterms:created>
  <dcterms:modified xsi:type="dcterms:W3CDTF">2026-03-15T07:06:13Z</dcterms:modified>
</cp:coreProperties>
</file>